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Annahmen" sheetId="2" state="visible" r:id="rId4"/>
    <sheet name="Rezepturvarianten" sheetId="3" state="visible" r:id="rId5"/>
    <sheet name="Stückkosten" sheetId="4" state="visible" r:id="rId6"/>
    <sheet name="Marge &amp; Preiskette" sheetId="5" state="visible" r:id="rId7"/>
    <sheet name="Break-even" sheetId="6" state="visible" r:id="rId8"/>
    <sheet name="Jahresszenarien" sheetId="7" state="visible" r:id="rId9"/>
    <sheet name="Verkostu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<sst xmlns="http://schemas.openxmlformats.org/spreadsheetml/2006/main" count="241" uniqueCount="220">
  <si>
    <t xml:space="preserve">FRESCA-PROJEKT — KALKULATION EIGENE GRAPEFRUIT-LIMONADE</t>
  </si>
  <si>
    <t xml:space="preserve">WOZU DIESE MAPPE</t>
  </si>
  <si>
    <t xml:space="preserve">Sie rechnet durch, was dein Getränk kostet, was du daran verdienst und ab wann sich die erste Charge trägt. Alles hängt zusammen: Änderst du eine Annahme, rechnet sich die ganze Mappe neu.</t>
  </si>
  <si>
    <t xml:space="preserve">SO ARBEITEST DU DAMIT</t>
  </si>
  <si>
    <t xml:space="preserve">Schritt 1</t>
  </si>
  <si>
    <t xml:space="preserve">Öffne das Blatt 'Annahmen'. NUR dort trägst du etwas ein — alle gelben Felder.</t>
  </si>
  <si>
    <t xml:space="preserve">Schritt 2</t>
  </si>
  <si>
    <t xml:space="preserve">Ersetze die Startwerte durch das, was in den echten Angeboten von Abfüller und Aromahaus steht. Die Startwerte sind belastbare Marktschätzungen — aber eben Schätzungen.</t>
  </si>
  <si>
    <t xml:space="preserve">Schritt 3</t>
  </si>
  <si>
    <t xml:space="preserve">Auf 'Rezepturvarianten' stellst du Zucker, Süßstoff und Saftanteil je Variante ein.</t>
  </si>
  <si>
    <t xml:space="preserve">Schritt 4</t>
  </si>
  <si>
    <t xml:space="preserve">Alle anderen Blätter rechnen automatisch. Dort bitte nichts überschreiben.</t>
  </si>
  <si>
    <t xml:space="preserve">FARBLEGENDE</t>
  </si>
  <si>
    <t xml:space="preserve">Gelb hinterlegt</t>
  </si>
  <si>
    <t xml:space="preserve">Dein Eingabefeld. Nur diese Zellen ändern.</t>
  </si>
  <si>
    <t xml:space="preserve">Blaue Schrift</t>
  </si>
  <si>
    <t xml:space="preserve">Fest eingetragener Wert — eine Annahme oder eine Zahl aus einem Angebot.</t>
  </si>
  <si>
    <t xml:space="preserve">Schwarze Schrift</t>
  </si>
  <si>
    <t xml:space="preserve">Berechnet. Nicht überschreiben.</t>
  </si>
  <si>
    <t xml:space="preserve">Grüne Schrift</t>
  </si>
  <si>
    <t xml:space="preserve">Verweis auf ein anderes Blatt dieser Mappe.</t>
  </si>
  <si>
    <t xml:space="preserve">DIE BLÄTTER</t>
  </si>
  <si>
    <t xml:space="preserve">Annahmen</t>
  </si>
  <si>
    <t xml:space="preserve">Alle Eingaben: Stückkosten, Rohstoffpreise, Einmalkosten, Fixkosten, Verkaufspreise.</t>
  </si>
  <si>
    <t xml:space="preserve">Rezepturvarianten</t>
  </si>
  <si>
    <t xml:space="preserve">A = Vollzucker · B = Fresca-Original (Hybrid) · C = nur Zucker, reduziert · D = wie C, aber 6 % Saft.</t>
  </si>
  <si>
    <t xml:space="preserve">Stückkosten</t>
  </si>
  <si>
    <t xml:space="preserve">Was eine Dose kostet — je Variante und je Chargengröße.</t>
  </si>
  <si>
    <t xml:space="preserve">Marge &amp; Preiskette</t>
  </si>
  <si>
    <t xml:space="preserve">Was du je Absatzkanal verdienst (Online, Gastro, Fachhandel, LEH).</t>
  </si>
  <si>
    <t xml:space="preserve">Break-even</t>
  </si>
  <si>
    <t xml:space="preserve">Ab wie vielen verkauften Dosen die erste Charge im Plus ist.</t>
  </si>
  <si>
    <t xml:space="preserve">Jahresszenarien</t>
  </si>
  <si>
    <t xml:space="preserve">Vom Nebenerwerb bis zum Hauptberuf — was welcher Absatz bedeutet.</t>
  </si>
  <si>
    <t xml:space="preserve">Verkostung</t>
  </si>
  <si>
    <t xml:space="preserve">Auswertung der Blindverkostung. Trag die Papierbögen hier ein.</t>
  </si>
  <si>
    <t xml:space="preserve">WICHTIG</t>
  </si>
  <si>
    <t xml:space="preserve">Die Startwerte stammen aus Marktrecherche, nicht aus Angeboten. Deine erste Aufgabe ist, sie durch echte Zahlen zu ersetzen. Bis dahin ist jedes Ergebnis hier eine Indikation — keine Entscheidungsgrundlage.</t>
  </si>
  <si>
    <t xml:space="preserve">ANNAHMEN — nur die gelben Felder ändern</t>
  </si>
  <si>
    <t xml:space="preserve">1. PROJEKT-GRUNDDATEN</t>
  </si>
  <si>
    <t xml:space="preserve">Chargengröße (Dosen)</t>
  </si>
  <si>
    <t xml:space="preserve">Gebindegröße (ml)</t>
  </si>
  <si>
    <t xml:space="preserve">Gewählte Rezepturvariante (A / B / C / D)</t>
  </si>
  <si>
    <t xml:space="preserve">B</t>
  </si>
  <si>
    <t xml:space="preserve">Steuert die Blätter 'Marge &amp; Preiskette', 'Break-even' und 'Jahresszenarien'.</t>
  </si>
  <si>
    <t xml:space="preserve">2. STÜCKKOSTEN NACH CHARGENGRÖSSE (€ je Dose) — aus den Abfüller-Angeboten eintragen</t>
  </si>
  <si>
    <t xml:space="preserve">Kostenposition</t>
  </si>
  <si>
    <t xml:space="preserve">Leerdose + Deckel</t>
  </si>
  <si>
    <t xml:space="preserve">Genau diese sechs Zeilen beim Abfüller anfragen — dann sind Angebote vergleichbar.</t>
  </si>
  <si>
    <t xml:space="preserve">Sleeve (Druck + Aufbringen)</t>
  </si>
  <si>
    <t xml:space="preserve">Abfüllung (Lohnkosten)</t>
  </si>
  <si>
    <t xml:space="preserve">Sekundärverpackung (Tray, Karton, Palette)</t>
  </si>
  <si>
    <t xml:space="preserve">Basis-Rohstoffe (Wasser, CO2, Säure, Konservierung)</t>
  </si>
  <si>
    <t xml:space="preserve">Aroma / Konzentrat</t>
  </si>
  <si>
    <t xml:space="preserve">3. REZEPTURABHÄNGIGE ROHSTOFFPREISE</t>
  </si>
  <si>
    <t xml:space="preserve">Zucker (€ je kg)</t>
  </si>
  <si>
    <t xml:space="preserve">EU-Weißzucker im Großhandel. Schwankt stark — aktuellen Preis erfragen.</t>
  </si>
  <si>
    <t xml:space="preserve">Grapefruitsaft aus Konzentrat (€ je Liter Fertigsaft)</t>
  </si>
  <si>
    <t xml:space="preserve">Süßstoff-Blend Sucralose + Acesulfam-K (€ je Dose)</t>
  </si>
  <si>
    <t xml:space="preserve">4. ZUSCHLÄGE JE DOSE (€)</t>
  </si>
  <si>
    <t xml:space="preserve">EWP Pfand-Systembeitrag (Produzentenbeitrag)</t>
  </si>
  <si>
    <t xml:space="preserve">Tarif bei EWP Recycling Pfand Österreich erfragen. NICHT das 25-Cent-Pfand selbst — das ist ein durchlaufender Posten.</t>
  </si>
  <si>
    <t xml:space="preserve">Fracht Abfüller → eigenes Lager</t>
  </si>
  <si>
    <t xml:space="preserve">5. EINMALKOSTEN (€) — fallen nur einmal vor der ersten Charge an</t>
  </si>
  <si>
    <t xml:space="preserve">Rezepturentwicklung Aromahaus</t>
  </si>
  <si>
    <t xml:space="preserve">Nährwert- &amp; Stabilitätsanalyse (Labor)</t>
  </si>
  <si>
    <t xml:space="preserve">Dosendesign / Grafik</t>
  </si>
  <si>
    <t xml:space="preserve">Markenanmeldung EUIPO (1 Klasse, Kl. 32)</t>
  </si>
  <si>
    <t xml:space="preserve">Gewerbeanmeldung, LMU-Registrierung, HACCP-Konzept</t>
  </si>
  <si>
    <t xml:space="preserve">EWP- und ARA-Registrierung (Setup)</t>
  </si>
  <si>
    <t xml:space="preserve">Summe Einmalkosten</t>
  </si>
  <si>
    <t xml:space="preserve">6. FIXKOSTEN JAHR 1 (€)</t>
  </si>
  <si>
    <t xml:space="preserve">Lagermiete</t>
  </si>
  <si>
    <t xml:space="preserve">Logistik / Versand</t>
  </si>
  <si>
    <t xml:space="preserve">Marketing, Muster, Messen</t>
  </si>
  <si>
    <t xml:space="preserve">Buchhaltung, Versicherung, Sonstiges</t>
  </si>
  <si>
    <t xml:space="preserve">Summe Fixkosten Jahr 1</t>
  </si>
  <si>
    <t xml:space="preserve">7. ABSATZKANÄLE — Nettopreise, ohne 20 % USt und ohne Pfand</t>
  </si>
  <si>
    <t xml:space="preserve">Kanal</t>
  </si>
  <si>
    <t xml:space="preserve">Abgabepreis netto (€/Dose)</t>
  </si>
  <si>
    <t xml:space="preserve">Anteil am Absatz</t>
  </si>
  <si>
    <t xml:space="preserve">Online-Direktverkauf</t>
  </si>
  <si>
    <t xml:space="preserve">Gastronomie</t>
  </si>
  <si>
    <t xml:space="preserve">Feinkost / Getränkefachhandel</t>
  </si>
  <si>
    <t xml:space="preserve">LEH / Großhandel</t>
  </si>
  <si>
    <t xml:space="preserve">Summe Anteile (muss 100,0 % ergeben)</t>
  </si>
  <si>
    <t xml:space="preserve">REZEPTURVARIANTEN — Zucker, Süßstoff, Saftanteil</t>
  </si>
  <si>
    <t xml:space="preserve">Parameter</t>
  </si>
  <si>
    <t xml:space="preserve">A</t>
  </si>
  <si>
    <t xml:space="preserve">C</t>
  </si>
  <si>
    <t xml:space="preserve">D</t>
  </si>
  <si>
    <t xml:space="preserve">Bezeichnung</t>
  </si>
  <si>
    <t xml:space="preserve">Vollzucker</t>
  </si>
  <si>
    <t xml:space="preserve">Fresca-Original (Hybrid)</t>
  </si>
  <si>
    <t xml:space="preserve">Nur Zucker, reduziert</t>
  </si>
  <si>
    <t xml:space="preserve">Nur Zucker + 6 % Saft</t>
  </si>
  <si>
    <t xml:space="preserve">EINGABEN</t>
  </si>
  <si>
    <t xml:space="preserve">Zucker (g je 100 ml)</t>
  </si>
  <si>
    <t xml:space="preserve">Das Costa-Rica-Original liegt bei ca. 5,9 g/100 ml — Coca-Cola bei ca. 10,6 g.</t>
  </si>
  <si>
    <t xml:space="preserve">Süßstoff enthalten (1 = ja, 0 = nein)</t>
  </si>
  <si>
    <t xml:space="preserve">Grapefruitsaft-Anteil</t>
  </si>
  <si>
    <t xml:space="preserve">Ob 'Fruchtlimonade' auf die Dose darf, hängt vom Mindestfruchtgehalt ab — Österr. Lebensmittelbuch Kap. B26, prüfen lassen.</t>
  </si>
  <si>
    <t xml:space="preserve">BERECHNETE REZEPTURKOSTEN (€ je Dose)</t>
  </si>
  <si>
    <t xml:space="preserve">Zucker je Dose (g)</t>
  </si>
  <si>
    <t xml:space="preserve">Zuckerkosten</t>
  </si>
  <si>
    <t xml:space="preserve">Saftmenge je Dose (ml)</t>
  </si>
  <si>
    <t xml:space="preserve">Saftkosten</t>
  </si>
  <si>
    <t xml:space="preserve">Süßstoffkosten</t>
  </si>
  <si>
    <t xml:space="preserve">Rezepturkosten gesamt (€ je Dose)</t>
  </si>
  <si>
    <t xml:space="preserve">NÄHRWERTE UND POSITIONIERUNG</t>
  </si>
  <si>
    <t xml:space="preserve">Brennwert (kcal je 100 ml)</t>
  </si>
  <si>
    <t xml:space="preserve">Zucker liefert 4 kcal je Gramm. Süßstoffe liefern keine Kalorien.</t>
  </si>
  <si>
    <t xml:space="preserve">Brennwert je Dose (kcal)</t>
  </si>
  <si>
    <t xml:space="preserve">Vergleich: Coca-Cola hat ca. 139 kcal je 330-ml-Dose.</t>
  </si>
  <si>
    <t xml:space="preserve">STÜCKKOSTEN JE DOSE</t>
  </si>
  <si>
    <t xml:space="preserve">Verwendete Kostenstufe (Dosen)</t>
  </si>
  <si>
    <t xml:space="preserve">Richtet sich nach der Chargengröße auf 'Annahmen'. Zwischenwerte nutzen die nächstniedrigere Stufe.</t>
  </si>
  <si>
    <t xml:space="preserve">Sekundärverpackung</t>
  </si>
  <si>
    <t xml:space="preserve">Basis-Rohstoffe</t>
  </si>
  <si>
    <t xml:space="preserve">Zucker</t>
  </si>
  <si>
    <t xml:space="preserve">Grapefruitsaft</t>
  </si>
  <si>
    <t xml:space="preserve">Süßstoff</t>
  </si>
  <si>
    <t xml:space="preserve">Herstellkosten ab Abfüller (Summe)</t>
  </si>
  <si>
    <t xml:space="preserve">+ EWP Pfand-Systembeitrag</t>
  </si>
  <si>
    <t xml:space="preserve">+ Fracht zum Lager</t>
  </si>
  <si>
    <t xml:space="preserve">VOLLKOSTEN WARE (€ je Dose)</t>
  </si>
  <si>
    <t xml:space="preserve">Nachrichtlich: kcal je Dose</t>
  </si>
  <si>
    <t xml:space="preserve">Nachrichtlich: Zucker je Dose (g)</t>
  </si>
  <si>
    <t xml:space="preserve">SKALENEFFEKT — Vollkosten Ware (€ je Dose) bei allen drei Chargengrößen</t>
  </si>
  <si>
    <t xml:space="preserve">Chargengröße</t>
  </si>
  <si>
    <t xml:space="preserve">Zeigt, wie stark die Menge auf die Stückkosten drückt — dein wichtigstes Argument in der Abfüller-Verhandlung.</t>
  </si>
  <si>
    <t xml:space="preserve">MARGE &amp; PREISKETTE</t>
  </si>
  <si>
    <t xml:space="preserve">Gewählte Variante</t>
  </si>
  <si>
    <t xml:space="preserve">Vollkosten Ware (€ je Dose)</t>
  </si>
  <si>
    <t xml:space="preserve">Abgabepreis netto</t>
  </si>
  <si>
    <t xml:space="preserve">Vollkosten Ware</t>
  </si>
  <si>
    <t xml:space="preserve">Rohertrag € / Dose</t>
  </si>
  <si>
    <t xml:space="preserve">Marge %</t>
  </si>
  <si>
    <t xml:space="preserve">Anteil</t>
  </si>
  <si>
    <t xml:space="preserve">Gewichteter Rohertrag</t>
  </si>
  <si>
    <t xml:space="preserve">Preise netto — ohne 20 % USt und ohne die 25 Cent Pfand (durchlaufender Posten).</t>
  </si>
  <si>
    <t xml:space="preserve">Faustregel: Gastro und Direktverkauf verdienen das Geld, der LEH macht den Umsatz.</t>
  </si>
  <si>
    <t xml:space="preserve">GEWICHTETER DURCHSCHNITT</t>
  </si>
  <si>
    <t xml:space="preserve">Ø Abgabepreis je Dose</t>
  </si>
  <si>
    <t xml:space="preserve">Ø Rohertrag je Dose</t>
  </si>
  <si>
    <t xml:space="preserve">BREAK-EVEN DER ERSTEN CHARGE</t>
  </si>
  <si>
    <t xml:space="preserve">ZU DECKENDE KOSTEN</t>
  </si>
  <si>
    <t xml:space="preserve">Einmalkosten gesamt</t>
  </si>
  <si>
    <t xml:space="preserve">Fixkosten Jahr 1</t>
  </si>
  <si>
    <t xml:space="preserve">Summe</t>
  </si>
  <si>
    <t xml:space="preserve">BREAK-EVEN</t>
  </si>
  <si>
    <t xml:space="preserve">BREAK-EVEN (verkaufte Dosen)</t>
  </si>
  <si>
    <t xml:space="preserve">Break-even in % der Charge</t>
  </si>
  <si>
    <t xml:space="preserve">SZENARIEN CHARGE 1 — die Ware wird voll produziert, aber nur teilweise verkauft</t>
  </si>
  <si>
    <t xml:space="preserve">Abverkauf</t>
  </si>
  <si>
    <t xml:space="preserve">Verkaufte Dosen</t>
  </si>
  <si>
    <t xml:space="preserve">Umsatz netto</t>
  </si>
  <si>
    <t xml:space="preserve">Wareneinsatz (volle Charge)</t>
  </si>
  <si>
    <t xml:space="preserve">Deckungsbeitrag</t>
  </si>
  <si>
    <t xml:space="preserve">Einmal- + Fixkosten</t>
  </si>
  <si>
    <t xml:space="preserve">ERGEBNIS</t>
  </si>
  <si>
    <t xml:space="preserve">Nicht verkaufte Dosen kosten trotzdem Geld — deshalb wird der Wareneinsatz immer für die volle Charge gerechnet. Das ist der ehrliche Blick.</t>
  </si>
  <si>
    <t xml:space="preserve">JAHRESSZENARIEN — ab wann trägt es dich?</t>
  </si>
  <si>
    <t xml:space="preserve">Szenario</t>
  </si>
  <si>
    <t xml:space="preserve">Absatz Dosen / Jahr</t>
  </si>
  <si>
    <t xml:space="preserve">Vollkosten € / Dose</t>
  </si>
  <si>
    <t xml:space="preserve">Ø Abgabepreis</t>
  </si>
  <si>
    <t xml:space="preserve">Rohertrag gesamt</t>
  </si>
  <si>
    <t xml:space="preserve">Fixkosten p. a.</t>
  </si>
  <si>
    <t xml:space="preserve">je Monat</t>
  </si>
  <si>
    <t xml:space="preserve">Nebenbei</t>
  </si>
  <si>
    <t xml:space="preserve">Fixkosten sind Eingaben — schätze sie ehrlich. Ab 'Hauptberuf' gehört dein eigenes Gehalt hinein, sonst rechnest du dich reich.</t>
  </si>
  <si>
    <t xml:space="preserve">Halbtags</t>
  </si>
  <si>
    <t xml:space="preserve">Hauptberuf</t>
  </si>
  <si>
    <t xml:space="preserve">Ab 100.000 Dosen bleibt die Kostenstufe rechnerisch stehen. Bei 500.000 wären die echten Stückkosten niedriger — hier bewusst konservativ.</t>
  </si>
  <si>
    <t xml:space="preserve">Ernsthaft</t>
  </si>
  <si>
    <t xml:space="preserve">WAS DAS HAUPTBERUF-SZENARIO PRAKTISCH BEDEUTET</t>
  </si>
  <si>
    <t xml:space="preserve">Dosen je Tag</t>
  </si>
  <si>
    <t xml:space="preserve">Gastro-Betriebe nötig</t>
  </si>
  <si>
    <t xml:space="preserve">Dosen je Betrieb und Tag</t>
  </si>
  <si>
    <t xml:space="preserve">Das ist die eigentliche Arbeit: so viele Betriebe gewinnen UND halten.</t>
  </si>
  <si>
    <t xml:space="preserve">BLINDVERKOSTUNG — AUSWERTUNG</t>
  </si>
  <si>
    <t xml:space="preserve">SO GEHT ES</t>
  </si>
  <si>
    <t xml:space="preserve">1. Muster in identische, undurchsichtige Becher füllen und NUR mit dem Zahlencode beschriften.</t>
  </si>
  <si>
    <t xml:space="preserve">2. Reihenfolge bei jedem Teilnehmer wechseln. Wasser und etwas Brot zum Neutralisieren dazustellen.</t>
  </si>
  <si>
    <t xml:space="preserve">3. Erst den Papierbogen ausfüllen lassen (PDF im Projektordner), danach die Zahlen hier eintragen.</t>
  </si>
  <si>
    <t xml:space="preserve">4. Die Legende unten darf niemand sehen, bevor alle Bögen ausgefüllt sind.</t>
  </si>
  <si>
    <t xml:space="preserve">BLINDCODES — Legende (geheim halten!)</t>
  </si>
  <si>
    <t xml:space="preserve">Code</t>
  </si>
  <si>
    <t xml:space="preserve">Muster</t>
  </si>
  <si>
    <t xml:space="preserve">Referenz — Fresca Original (Import)</t>
  </si>
  <si>
    <t xml:space="preserve">Variante A — Vollzucker</t>
  </si>
  <si>
    <t xml:space="preserve">Variante B — Fresca-Original (Hybrid, mit Süßstoff)</t>
  </si>
  <si>
    <t xml:space="preserve">Variante C — Nur Zucker, reduziert</t>
  </si>
  <si>
    <t xml:space="preserve">AUSWERTUNG — rechnet automatisch</t>
  </si>
  <si>
    <t xml:space="preserve">Kennzahl</t>
  </si>
  <si>
    <t xml:space="preserve">Ø Gesamteindruck (1–10)</t>
  </si>
  <si>
    <t xml:space="preserve">Ø Süßeempfinden (1 = zu wenig … 9 = zu süß)</t>
  </si>
  <si>
    <t xml:space="preserve">Anzahl "würde ich kaufen"</t>
  </si>
  <si>
    <t xml:space="preserve">Anteil Kaufpräferenz</t>
  </si>
  <si>
    <t xml:space="preserve">Differenz zur Referenz (Gesamteindruck)</t>
  </si>
  <si>
    <t xml:space="preserve">Teilnehmer erfasst</t>
  </si>
  <si>
    <t xml:space="preserve">Bestes Muster (Ø Gesamteindruck)</t>
  </si>
  <si>
    <t xml:space="preserve">ENTSCHEIDUNGSREGEL</t>
  </si>
  <si>
    <t xml:space="preserve">Schlägt keine eigene Variante die Referenz um mindestens 0,5 Punkte, ist die Rezeptur noch nicht fertig.</t>
  </si>
  <si>
    <t xml:space="preserve">DATENEINGABE — eine Zeile je Teilnehmer</t>
  </si>
  <si>
    <t xml:space="preserve">Teilnehmer</t>
  </si>
  <si>
    <t xml:space="preserve">Gesamt Code 1</t>
  </si>
  <si>
    <t xml:space="preserve">Gesamt Code 2</t>
  </si>
  <si>
    <t xml:space="preserve">Gesamt Code 3</t>
  </si>
  <si>
    <t xml:space="preserve">Gesamt Code 4</t>
  </si>
  <si>
    <t xml:space="preserve">Süße Code 1</t>
  </si>
  <si>
    <t xml:space="preserve">Süße Code 2</t>
  </si>
  <si>
    <t xml:space="preserve">Süße Code 3</t>
  </si>
  <si>
    <t xml:space="preserve">Süße Code 4</t>
  </si>
  <si>
    <t xml:space="preserve">Kauf-Code</t>
  </si>
  <si>
    <t xml:space="preserve">Notiz</t>
  </si>
  <si>
    <t xml:space="preserve">BEISPIEL</t>
  </si>
  <si>
    <t xml:space="preserve">B am rundesten, C zu trocken</t>
  </si>
  <si>
    <t xml:space="preserve">◄ Beispielzeile. Sie wird NICHT mitgerechnet — echte Daten ab Zeile 30.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</si>
</sst>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&quot; Dosen&quot;"/>
    <numFmt numFmtId="167" formatCode="#,##0.000&quot; €&quot;"/>
    <numFmt numFmtId="168" formatCode="#,##0.00&quot; €&quot;"/>
    <numFmt numFmtId="169" formatCode="0.0%"/>
    <numFmt numFmtId="170" formatCode="#,##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008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/>
    </row>
    <row r="4" customFormat="false" ht="30" hidden="false" customHeight="true" outlineLevel="0" collapsed="false">
      <c r="B4" s="3" t="s">
        <v>2</v>
      </c>
    </row>
    <row r="6" customFormat="false" ht="15" hidden="false" customHeight="false" outlineLevel="0" collapsed="false">
      <c r="A6" s="2" t="s">
        <v>3</v>
      </c>
      <c r="B6" s="2"/>
    </row>
    <row r="7" customFormat="false" ht="15" hidden="false" customHeight="true" outlineLevel="0" collapsed="false">
      <c r="A7" s="4" t="s">
        <v>4</v>
      </c>
      <c r="B7" s="3" t="s">
        <v>5</v>
      </c>
    </row>
    <row r="8" customFormat="false" ht="25.5" hidden="false" customHeight="true" outlineLevel="0" collapsed="false">
      <c r="A8" s="4" t="s">
        <v>6</v>
      </c>
      <c r="B8" s="3" t="s">
        <v>7</v>
      </c>
    </row>
    <row r="9" customFormat="false" ht="15" hidden="false" customHeight="true" outlineLevel="0" collapsed="false">
      <c r="A9" s="4" t="s">
        <v>8</v>
      </c>
      <c r="B9" s="3" t="s">
        <v>9</v>
      </c>
    </row>
    <row r="10" customFormat="false" ht="15" hidden="false" customHeight="true" outlineLevel="0" collapsed="false">
      <c r="A10" s="4" t="s">
        <v>10</v>
      </c>
      <c r="B10" s="3" t="s">
        <v>11</v>
      </c>
    </row>
    <row r="12" customFormat="false" ht="15" hidden="false" customHeight="false" outlineLevel="0" collapsed="false">
      <c r="A12" s="2" t="s">
        <v>12</v>
      </c>
      <c r="B12" s="2"/>
    </row>
    <row r="13" customFormat="false" ht="15" hidden="false" customHeight="false" outlineLevel="0" collapsed="false">
      <c r="A13" s="5" t="s">
        <v>13</v>
      </c>
      <c r="B13" s="6" t="s">
        <v>14</v>
      </c>
    </row>
    <row r="14" customFormat="false" ht="15" hidden="false" customHeight="false" outlineLevel="0" collapsed="false">
      <c r="A14" s="7" t="s">
        <v>15</v>
      </c>
      <c r="B14" s="6" t="s">
        <v>16</v>
      </c>
    </row>
    <row r="15" customFormat="false" ht="15" hidden="false" customHeight="false" outlineLevel="0" collapsed="false">
      <c r="A15" s="8" t="s">
        <v>17</v>
      </c>
      <c r="B15" s="6" t="s">
        <v>18</v>
      </c>
    </row>
    <row r="16" customFormat="false" ht="15" hidden="false" customHeight="false" outlineLevel="0" collapsed="false">
      <c r="A16" s="9" t="s">
        <v>19</v>
      </c>
      <c r="B16" s="6" t="s">
        <v>20</v>
      </c>
    </row>
    <row r="18" customFormat="false" ht="15" hidden="false" customHeight="false" outlineLevel="0" collapsed="false">
      <c r="A18" s="2" t="s">
        <v>21</v>
      </c>
      <c r="B18" s="2"/>
    </row>
    <row r="19" customFormat="false" ht="15" hidden="false" customHeight="true" outlineLevel="0" collapsed="false">
      <c r="A19" s="4" t="s">
        <v>22</v>
      </c>
      <c r="B19" s="3" t="s">
        <v>23</v>
      </c>
    </row>
    <row r="20" customFormat="false" ht="25.5" hidden="false" customHeight="true" outlineLevel="0" collapsed="false">
      <c r="A20" s="4" t="s">
        <v>24</v>
      </c>
      <c r="B20" s="3" t="s">
        <v>25</v>
      </c>
    </row>
    <row r="21" customFormat="false" ht="15" hidden="false" customHeight="true" outlineLevel="0" collapsed="false">
      <c r="A21" s="4" t="s">
        <v>26</v>
      </c>
      <c r="B21" s="3" t="s">
        <v>27</v>
      </c>
    </row>
    <row r="22" customFormat="false" ht="15" hidden="false" customHeight="true" outlineLevel="0" collapsed="false">
      <c r="A22" s="4" t="s">
        <v>28</v>
      </c>
      <c r="B22" s="3" t="s">
        <v>29</v>
      </c>
    </row>
    <row r="23" customFormat="false" ht="15" hidden="false" customHeight="true" outlineLevel="0" collapsed="false">
      <c r="A23" s="4" t="s">
        <v>30</v>
      </c>
      <c r="B23" s="3" t="s">
        <v>31</v>
      </c>
    </row>
    <row r="24" customFormat="false" ht="15" hidden="false" customHeight="true" outlineLevel="0" collapsed="false">
      <c r="A24" s="4" t="s">
        <v>32</v>
      </c>
      <c r="B24" s="3" t="s">
        <v>33</v>
      </c>
    </row>
    <row r="25" customFormat="false" ht="15" hidden="false" customHeight="true" outlineLevel="0" collapsed="false">
      <c r="A25" s="4" t="s">
        <v>34</v>
      </c>
      <c r="B25" s="3" t="s">
        <v>35</v>
      </c>
    </row>
    <row r="27" customFormat="false" ht="15" hidden="false" customHeight="false" outlineLevel="0" collapsed="false">
      <c r="A27" s="2" t="s">
        <v>36</v>
      </c>
      <c r="B27" s="2"/>
    </row>
    <row r="28" customFormat="false" ht="31.5" hidden="false" customHeight="true" outlineLevel="0" collapsed="false">
      <c r="B28" s="10" t="s">
        <v>37</v>
      </c>
    </row>
  </sheetData>
  <mergeCells count="6">
    <mergeCell ref="A1:F1"/>
    <mergeCell ref="A3:B3"/>
    <mergeCell ref="A6:B6"/>
    <mergeCell ref="A12:B12"/>
    <mergeCell ref="A18:B18"/>
    <mergeCell ref="A27:B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  <col collapsed="false" customWidth="true" hidden="false" outlineLevel="0" max="5" min="5" style="0" width="3"/>
    <col collapsed="false" customWidth="true" hidden="false" outlineLevel="0" max="6" min="6" style="0" width="62"/>
  </cols>
  <sheetData>
    <row r="1" customFormat="false" ht="25.5" hidden="false" customHeight="true" outlineLevel="0" collapsed="false">
      <c r="A1" s="1" t="s">
        <v>38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39</v>
      </c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6" t="s">
        <v>40</v>
      </c>
      <c r="B4" s="11" t="n">
        <v>20000</v>
      </c>
    </row>
    <row r="5" customFormat="false" ht="15" hidden="false" customHeight="false" outlineLevel="0" collapsed="false">
      <c r="A5" s="6" t="s">
        <v>41</v>
      </c>
      <c r="B5" s="11" t="n">
        <v>330</v>
      </c>
    </row>
    <row r="6" customFormat="false" ht="15" hidden="false" customHeight="false" outlineLevel="0" collapsed="false">
      <c r="A6" s="6" t="s">
        <v>42</v>
      </c>
      <c r="B6" s="12" t="s">
        <v>43</v>
      </c>
      <c r="F6" s="13" t="s">
        <v>44</v>
      </c>
    </row>
    <row r="8" customFormat="false" ht="15" hidden="false" customHeight="false" outlineLevel="0" collapsed="false">
      <c r="A8" s="2" t="s">
        <v>45</v>
      </c>
      <c r="B8" s="2"/>
      <c r="C8" s="2"/>
      <c r="D8" s="2"/>
      <c r="E8" s="2"/>
      <c r="F8" s="2"/>
      <c r="G8" s="2"/>
      <c r="H8" s="2"/>
    </row>
    <row r="9" customFormat="false" ht="30" hidden="false" customHeight="true" outlineLevel="0" collapsed="false">
      <c r="A9" s="14" t="s">
        <v>46</v>
      </c>
      <c r="B9" s="15" t="n">
        <v>20000</v>
      </c>
      <c r="C9" s="15" t="n">
        <v>50000</v>
      </c>
      <c r="D9" s="15" t="n">
        <v>100000</v>
      </c>
    </row>
    <row r="10" customFormat="false" ht="15" hidden="false" customHeight="false" outlineLevel="0" collapsed="false">
      <c r="A10" s="6" t="s">
        <v>47</v>
      </c>
      <c r="B10" s="16" t="n">
        <v>0.15</v>
      </c>
      <c r="C10" s="16" t="n">
        <v>0.135</v>
      </c>
      <c r="D10" s="16" t="n">
        <v>0.12</v>
      </c>
      <c r="F10" s="13" t="s">
        <v>48</v>
      </c>
    </row>
    <row r="11" customFormat="false" ht="15" hidden="false" customHeight="false" outlineLevel="0" collapsed="false">
      <c r="A11" s="6" t="s">
        <v>49</v>
      </c>
      <c r="B11" s="16" t="n">
        <v>0.05</v>
      </c>
      <c r="C11" s="16" t="n">
        <v>0.04</v>
      </c>
      <c r="D11" s="16" t="n">
        <v>0.03</v>
      </c>
    </row>
    <row r="12" customFormat="false" ht="15" hidden="false" customHeight="false" outlineLevel="0" collapsed="false">
      <c r="A12" s="6" t="s">
        <v>50</v>
      </c>
      <c r="B12" s="16" t="n">
        <v>0.12</v>
      </c>
      <c r="C12" s="16" t="n">
        <v>0.09</v>
      </c>
      <c r="D12" s="16" t="n">
        <v>0.07</v>
      </c>
    </row>
    <row r="13" customFormat="false" ht="15" hidden="false" customHeight="false" outlineLevel="0" collapsed="false">
      <c r="A13" s="6" t="s">
        <v>51</v>
      </c>
      <c r="B13" s="16" t="n">
        <v>0.03</v>
      </c>
      <c r="C13" s="16" t="n">
        <v>0.025</v>
      </c>
      <c r="D13" s="16" t="n">
        <v>0.02</v>
      </c>
    </row>
    <row r="14" customFormat="false" ht="15" hidden="false" customHeight="false" outlineLevel="0" collapsed="false">
      <c r="A14" s="6" t="s">
        <v>52</v>
      </c>
      <c r="B14" s="16" t="n">
        <v>0.02</v>
      </c>
      <c r="C14" s="16" t="n">
        <v>0.018</v>
      </c>
      <c r="D14" s="16" t="n">
        <v>0.016</v>
      </c>
    </row>
    <row r="15" customFormat="false" ht="15" hidden="false" customHeight="false" outlineLevel="0" collapsed="false">
      <c r="A15" s="6" t="s">
        <v>53</v>
      </c>
      <c r="B15" s="16" t="n">
        <v>0.025</v>
      </c>
      <c r="C15" s="16" t="n">
        <v>0.022</v>
      </c>
      <c r="D15" s="16" t="n">
        <v>0.02</v>
      </c>
    </row>
    <row r="17" customFormat="false" ht="15" hidden="false" customHeight="false" outlineLevel="0" collapsed="false">
      <c r="A17" s="2" t="s">
        <v>54</v>
      </c>
      <c r="B17" s="2"/>
      <c r="C17" s="2"/>
      <c r="D17" s="2"/>
      <c r="E17" s="2"/>
      <c r="F17" s="2"/>
      <c r="G17" s="2"/>
      <c r="H17" s="2"/>
    </row>
    <row r="18" customFormat="false" ht="15" hidden="false" customHeight="false" outlineLevel="0" collapsed="false">
      <c r="A18" s="6" t="s">
        <v>55</v>
      </c>
      <c r="B18" s="17" t="n">
        <v>0.7</v>
      </c>
      <c r="F18" s="13" t="s">
        <v>56</v>
      </c>
    </row>
    <row r="19" customFormat="false" ht="15" hidden="false" customHeight="false" outlineLevel="0" collapsed="false">
      <c r="A19" s="6" t="s">
        <v>57</v>
      </c>
      <c r="B19" s="17" t="n">
        <v>1.6</v>
      </c>
    </row>
    <row r="20" customFormat="false" ht="15" hidden="false" customHeight="false" outlineLevel="0" collapsed="false">
      <c r="A20" s="6" t="s">
        <v>58</v>
      </c>
      <c r="B20" s="16" t="n">
        <v>0.01</v>
      </c>
    </row>
    <row r="22" customFormat="false" ht="15" hidden="false" customHeight="false" outlineLevel="0" collapsed="false">
      <c r="A22" s="2" t="s">
        <v>59</v>
      </c>
      <c r="B22" s="2"/>
      <c r="C22" s="2"/>
      <c r="D22" s="2"/>
      <c r="E22" s="2"/>
      <c r="F22" s="2"/>
      <c r="G22" s="2"/>
      <c r="H22" s="2"/>
    </row>
    <row r="23" customFormat="false" ht="22.35" hidden="false" customHeight="false" outlineLevel="0" collapsed="false">
      <c r="A23" s="6" t="s">
        <v>60</v>
      </c>
      <c r="B23" s="16" t="n">
        <v>0.02</v>
      </c>
      <c r="F23" s="13" t="s">
        <v>61</v>
      </c>
    </row>
    <row r="24" customFormat="false" ht="15" hidden="false" customHeight="false" outlineLevel="0" collapsed="false">
      <c r="A24" s="6" t="s">
        <v>62</v>
      </c>
      <c r="B24" s="16" t="n">
        <v>0.02</v>
      </c>
    </row>
    <row r="26" customFormat="false" ht="15" hidden="false" customHeight="false" outlineLevel="0" collapsed="false">
      <c r="A26" s="2" t="s">
        <v>63</v>
      </c>
      <c r="B26" s="2"/>
      <c r="C26" s="2"/>
      <c r="D26" s="2"/>
      <c r="E26" s="2"/>
      <c r="F26" s="2"/>
      <c r="G26" s="2"/>
      <c r="H26" s="2"/>
    </row>
    <row r="27" customFormat="false" ht="15" hidden="false" customHeight="false" outlineLevel="0" collapsed="false">
      <c r="A27" s="6" t="s">
        <v>64</v>
      </c>
      <c r="B27" s="17" t="n">
        <v>3500</v>
      </c>
    </row>
    <row r="28" customFormat="false" ht="15" hidden="false" customHeight="false" outlineLevel="0" collapsed="false">
      <c r="A28" s="6" t="s">
        <v>65</v>
      </c>
      <c r="B28" s="17" t="n">
        <v>600</v>
      </c>
    </row>
    <row r="29" customFormat="false" ht="15" hidden="false" customHeight="false" outlineLevel="0" collapsed="false">
      <c r="A29" s="6" t="s">
        <v>66</v>
      </c>
      <c r="B29" s="17" t="n">
        <v>1500</v>
      </c>
    </row>
    <row r="30" customFormat="false" ht="15" hidden="false" customHeight="false" outlineLevel="0" collapsed="false">
      <c r="A30" s="6" t="s">
        <v>67</v>
      </c>
      <c r="B30" s="17" t="n">
        <v>850</v>
      </c>
    </row>
    <row r="31" customFormat="false" ht="15" hidden="false" customHeight="false" outlineLevel="0" collapsed="false">
      <c r="A31" s="6" t="s">
        <v>68</v>
      </c>
      <c r="B31" s="17" t="n">
        <v>650</v>
      </c>
    </row>
    <row r="32" customFormat="false" ht="15" hidden="false" customHeight="false" outlineLevel="0" collapsed="false">
      <c r="A32" s="6" t="s">
        <v>69</v>
      </c>
      <c r="B32" s="17" t="n">
        <v>350</v>
      </c>
    </row>
    <row r="33" customFormat="false" ht="15" hidden="false" customHeight="false" outlineLevel="0" collapsed="false">
      <c r="A33" s="18" t="s">
        <v>70</v>
      </c>
      <c r="B33" s="19" t="n">
        <f aca="false">SUM(B27:B32)</f>
        <v>7450</v>
      </c>
    </row>
    <row r="35" customFormat="false" ht="15" hidden="false" customHeight="false" outlineLevel="0" collapsed="false">
      <c r="A35" s="2" t="s">
        <v>71</v>
      </c>
      <c r="B35" s="2"/>
      <c r="C35" s="2"/>
      <c r="D35" s="2"/>
      <c r="E35" s="2"/>
      <c r="F35" s="2"/>
      <c r="G35" s="2"/>
      <c r="H35" s="2"/>
    </row>
    <row r="36" customFormat="false" ht="15" hidden="false" customHeight="false" outlineLevel="0" collapsed="false">
      <c r="A36" s="6" t="s">
        <v>72</v>
      </c>
      <c r="B36" s="17" t="n">
        <v>1200</v>
      </c>
    </row>
    <row r="37" customFormat="false" ht="15" hidden="false" customHeight="false" outlineLevel="0" collapsed="false">
      <c r="A37" s="6" t="s">
        <v>73</v>
      </c>
      <c r="B37" s="17" t="n">
        <v>1500</v>
      </c>
    </row>
    <row r="38" customFormat="false" ht="15" hidden="false" customHeight="false" outlineLevel="0" collapsed="false">
      <c r="A38" s="6" t="s">
        <v>74</v>
      </c>
      <c r="B38" s="17" t="n">
        <v>2500</v>
      </c>
    </row>
    <row r="39" customFormat="false" ht="15" hidden="false" customHeight="false" outlineLevel="0" collapsed="false">
      <c r="A39" s="6" t="s">
        <v>75</v>
      </c>
      <c r="B39" s="17" t="n">
        <v>800</v>
      </c>
    </row>
    <row r="40" customFormat="false" ht="15" hidden="false" customHeight="false" outlineLevel="0" collapsed="false">
      <c r="A40" s="18" t="s">
        <v>76</v>
      </c>
      <c r="B40" s="19" t="n">
        <f aca="false">SUM(B36:B39)</f>
        <v>6000</v>
      </c>
    </row>
    <row r="42" customFormat="false" ht="15" hidden="false" customHeight="false" outlineLevel="0" collapsed="false">
      <c r="A42" s="2" t="s">
        <v>77</v>
      </c>
      <c r="B42" s="2"/>
      <c r="C42" s="2"/>
      <c r="D42" s="2"/>
      <c r="E42" s="2"/>
      <c r="F42" s="2"/>
      <c r="G42" s="2"/>
      <c r="H42" s="2"/>
    </row>
    <row r="43" customFormat="false" ht="30" hidden="false" customHeight="true" outlineLevel="0" collapsed="false">
      <c r="A43" s="14" t="s">
        <v>78</v>
      </c>
      <c r="B43" s="14" t="s">
        <v>79</v>
      </c>
      <c r="C43" s="14" t="s">
        <v>80</v>
      </c>
    </row>
    <row r="44" customFormat="false" ht="15" hidden="false" customHeight="false" outlineLevel="0" collapsed="false">
      <c r="A44" s="6" t="s">
        <v>81</v>
      </c>
      <c r="B44" s="17" t="n">
        <v>2.2</v>
      </c>
      <c r="C44" s="20" t="n">
        <v>0.25</v>
      </c>
    </row>
    <row r="45" customFormat="false" ht="15" hidden="false" customHeight="false" outlineLevel="0" collapsed="false">
      <c r="A45" s="6" t="s">
        <v>82</v>
      </c>
      <c r="B45" s="17" t="n">
        <v>1</v>
      </c>
      <c r="C45" s="20" t="n">
        <v>0.6</v>
      </c>
    </row>
    <row r="46" customFormat="false" ht="15" hidden="false" customHeight="false" outlineLevel="0" collapsed="false">
      <c r="A46" s="6" t="s">
        <v>83</v>
      </c>
      <c r="B46" s="17" t="n">
        <v>0.85</v>
      </c>
      <c r="C46" s="20" t="n">
        <v>0.15</v>
      </c>
    </row>
    <row r="47" customFormat="false" ht="15" hidden="false" customHeight="false" outlineLevel="0" collapsed="false">
      <c r="A47" s="6" t="s">
        <v>84</v>
      </c>
      <c r="B47" s="17" t="n">
        <v>0.72</v>
      </c>
      <c r="C47" s="20" t="n">
        <v>0</v>
      </c>
    </row>
    <row r="48" customFormat="false" ht="15" hidden="false" customHeight="false" outlineLevel="0" collapsed="false">
      <c r="A48" s="18" t="s">
        <v>85</v>
      </c>
      <c r="C48" s="21" t="n">
        <f aca="false">SUM(C44:C47)</f>
        <v>1</v>
      </c>
      <c r="F48" s="22" t="str">
        <f aca="false">IF(ROUND(C48,4)=1,"OK","ACHTUNG: Anteile ergeben nicht 100 % — alle Ergebnisse verzerrt!")</f>
        <v>OK</v>
      </c>
    </row>
  </sheetData>
  <mergeCells count="8">
    <mergeCell ref="A1:F1"/>
    <mergeCell ref="A3:H3"/>
    <mergeCell ref="A8:H8"/>
    <mergeCell ref="A17:H17"/>
    <mergeCell ref="A22:H22"/>
    <mergeCell ref="A26:H26"/>
    <mergeCell ref="A35:H35"/>
    <mergeCell ref="A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6"/>
    <col collapsed="false" customWidth="true" hidden="false" outlineLevel="0" max="6" min="6" style="0" width="3"/>
    <col collapsed="false" customWidth="true" hidden="false" outlineLevel="0" max="7" min="7" style="0" width="54"/>
  </cols>
  <sheetData>
    <row r="1" customFormat="false" ht="25.5" hidden="false" customHeight="true" outlineLevel="0" collapsed="false">
      <c r="A1" s="1" t="s">
        <v>86</v>
      </c>
      <c r="B1" s="1"/>
      <c r="C1" s="1"/>
      <c r="D1" s="1"/>
      <c r="E1" s="1"/>
      <c r="F1" s="1"/>
      <c r="G1" s="1"/>
    </row>
    <row r="3" customFormat="false" ht="30" hidden="false" customHeight="true" outlineLevel="0" collapsed="false">
      <c r="A3" s="14" t="s">
        <v>87</v>
      </c>
      <c r="B3" s="14" t="s">
        <v>88</v>
      </c>
      <c r="C3" s="14" t="s">
        <v>43</v>
      </c>
      <c r="D3" s="14" t="s">
        <v>89</v>
      </c>
      <c r="E3" s="14" t="s">
        <v>90</v>
      </c>
    </row>
    <row r="4" customFormat="false" ht="30" hidden="false" customHeight="true" outlineLevel="0" collapsed="false">
      <c r="A4" s="8" t="s">
        <v>91</v>
      </c>
      <c r="B4" s="23" t="s">
        <v>92</v>
      </c>
      <c r="C4" s="23" t="s">
        <v>93</v>
      </c>
      <c r="D4" s="23" t="s">
        <v>94</v>
      </c>
      <c r="E4" s="23" t="s">
        <v>95</v>
      </c>
    </row>
    <row r="6" customFormat="false" ht="15" hidden="false" customHeight="false" outlineLevel="0" collapsed="false">
      <c r="A6" s="2" t="s">
        <v>96</v>
      </c>
      <c r="B6" s="2"/>
      <c r="C6" s="2"/>
      <c r="D6" s="2"/>
      <c r="E6" s="2"/>
    </row>
    <row r="7" customFormat="false" ht="15" hidden="false" customHeight="false" outlineLevel="0" collapsed="false">
      <c r="A7" s="6" t="s">
        <v>97</v>
      </c>
      <c r="B7" s="24" t="n">
        <v>10</v>
      </c>
      <c r="C7" s="24" t="n">
        <v>6</v>
      </c>
      <c r="D7" s="24" t="n">
        <v>6</v>
      </c>
      <c r="E7" s="24" t="n">
        <v>6</v>
      </c>
      <c r="G7" s="13" t="s">
        <v>98</v>
      </c>
    </row>
    <row r="8" customFormat="false" ht="15" hidden="false" customHeight="false" outlineLevel="0" collapsed="false">
      <c r="A8" s="6" t="s">
        <v>99</v>
      </c>
      <c r="B8" s="11" t="n">
        <v>0</v>
      </c>
      <c r="C8" s="11" t="n">
        <v>1</v>
      </c>
      <c r="D8" s="11" t="n">
        <v>0</v>
      </c>
      <c r="E8" s="11" t="n">
        <v>0</v>
      </c>
    </row>
    <row r="9" customFormat="false" ht="30" hidden="false" customHeight="true" outlineLevel="0" collapsed="false">
      <c r="A9" s="6" t="s">
        <v>100</v>
      </c>
      <c r="B9" s="20" t="n">
        <v>0.01</v>
      </c>
      <c r="C9" s="20" t="n">
        <v>0.01</v>
      </c>
      <c r="D9" s="20" t="n">
        <v>0.01</v>
      </c>
      <c r="E9" s="20" t="n">
        <v>0.06</v>
      </c>
      <c r="G9" s="13" t="s">
        <v>101</v>
      </c>
    </row>
    <row r="11" customFormat="false" ht="15" hidden="false" customHeight="false" outlineLevel="0" collapsed="false">
      <c r="A11" s="2" t="s">
        <v>102</v>
      </c>
      <c r="B11" s="2"/>
      <c r="C11" s="2"/>
      <c r="D11" s="2"/>
      <c r="E11" s="2"/>
    </row>
    <row r="12" customFormat="false" ht="15" hidden="false" customHeight="false" outlineLevel="0" collapsed="false">
      <c r="A12" s="6" t="s">
        <v>103</v>
      </c>
      <c r="B12" s="25" t="n">
        <f aca="false">B7*Annahmen!$B$5/100</f>
        <v>33</v>
      </c>
      <c r="C12" s="25" t="n">
        <f aca="false">C7*Annahmen!$B$5/100</f>
        <v>19.8</v>
      </c>
      <c r="D12" s="25" t="n">
        <f aca="false">D7*Annahmen!$B$5/100</f>
        <v>19.8</v>
      </c>
      <c r="E12" s="25" t="n">
        <f aca="false">E7*Annahmen!$B$5/100</f>
        <v>19.8</v>
      </c>
    </row>
    <row r="13" customFormat="false" ht="15" hidden="false" customHeight="false" outlineLevel="0" collapsed="false">
      <c r="A13" s="6" t="s">
        <v>104</v>
      </c>
      <c r="B13" s="26" t="n">
        <f aca="false">B12/1000*Annahmen!$B$18</f>
        <v>0.0231</v>
      </c>
      <c r="C13" s="26" t="n">
        <f aca="false">C12/1000*Annahmen!$B$18</f>
        <v>0.01386</v>
      </c>
      <c r="D13" s="26" t="n">
        <f aca="false">D12/1000*Annahmen!$B$18</f>
        <v>0.01386</v>
      </c>
      <c r="E13" s="26" t="n">
        <f aca="false">E12/1000*Annahmen!$B$18</f>
        <v>0.01386</v>
      </c>
    </row>
    <row r="14" customFormat="false" ht="15" hidden="false" customHeight="false" outlineLevel="0" collapsed="false">
      <c r="A14" s="6" t="s">
        <v>105</v>
      </c>
      <c r="B14" s="25" t="n">
        <f aca="false">Annahmen!$B$5*B9</f>
        <v>3.3</v>
      </c>
      <c r="C14" s="25" t="n">
        <f aca="false">Annahmen!$B$5*C9</f>
        <v>3.3</v>
      </c>
      <c r="D14" s="25" t="n">
        <f aca="false">Annahmen!$B$5*D9</f>
        <v>3.3</v>
      </c>
      <c r="E14" s="25" t="n">
        <f aca="false">Annahmen!$B$5*E9</f>
        <v>19.8</v>
      </c>
    </row>
    <row r="15" customFormat="false" ht="15" hidden="false" customHeight="false" outlineLevel="0" collapsed="false">
      <c r="A15" s="6" t="s">
        <v>106</v>
      </c>
      <c r="B15" s="26" t="n">
        <f aca="false">B14/1000*Annahmen!$B$19</f>
        <v>0.00528</v>
      </c>
      <c r="C15" s="26" t="n">
        <f aca="false">C14/1000*Annahmen!$B$19</f>
        <v>0.00528</v>
      </c>
      <c r="D15" s="26" t="n">
        <f aca="false">D14/1000*Annahmen!$B$19</f>
        <v>0.00528</v>
      </c>
      <c r="E15" s="26" t="n">
        <f aca="false">E14/1000*Annahmen!$B$19</f>
        <v>0.03168</v>
      </c>
    </row>
    <row r="16" customFormat="false" ht="15" hidden="false" customHeight="false" outlineLevel="0" collapsed="false">
      <c r="A16" s="6" t="s">
        <v>107</v>
      </c>
      <c r="B16" s="26" t="n">
        <f aca="false">B8*Annahmen!$B$20</f>
        <v>0</v>
      </c>
      <c r="C16" s="26" t="n">
        <f aca="false">C8*Annahmen!$B$20</f>
        <v>0.01</v>
      </c>
      <c r="D16" s="26" t="n">
        <f aca="false">D8*Annahmen!$B$20</f>
        <v>0</v>
      </c>
      <c r="E16" s="26" t="n">
        <f aca="false">E8*Annahmen!$B$20</f>
        <v>0</v>
      </c>
    </row>
    <row r="17" customFormat="false" ht="15" hidden="false" customHeight="false" outlineLevel="0" collapsed="false">
      <c r="A17" s="18" t="s">
        <v>108</v>
      </c>
      <c r="B17" s="27" t="n">
        <f aca="false">SUM(B13,B15,B16)</f>
        <v>0.02838</v>
      </c>
      <c r="C17" s="27" t="n">
        <f aca="false">SUM(C13,C15,C16)</f>
        <v>0.02914</v>
      </c>
      <c r="D17" s="27" t="n">
        <f aca="false">SUM(D13,D15,D16)</f>
        <v>0.01914</v>
      </c>
      <c r="E17" s="27" t="n">
        <f aca="false">SUM(E13,E15,E16)</f>
        <v>0.04554</v>
      </c>
    </row>
    <row r="19" customFormat="false" ht="15" hidden="false" customHeight="false" outlineLevel="0" collapsed="false">
      <c r="A19" s="2" t="s">
        <v>109</v>
      </c>
      <c r="B19" s="2"/>
      <c r="C19" s="2"/>
      <c r="D19" s="2"/>
      <c r="E19" s="2"/>
    </row>
    <row r="20" customFormat="false" ht="15" hidden="false" customHeight="false" outlineLevel="0" collapsed="false">
      <c r="A20" s="6" t="s">
        <v>110</v>
      </c>
      <c r="B20" s="25" t="n">
        <f aca="false">B7*4</f>
        <v>40</v>
      </c>
      <c r="C20" s="25" t="n">
        <f aca="false">C7*4</f>
        <v>24</v>
      </c>
      <c r="D20" s="25" t="n">
        <f aca="false">D7*4</f>
        <v>24</v>
      </c>
      <c r="E20" s="25" t="n">
        <f aca="false">E7*4</f>
        <v>24</v>
      </c>
      <c r="G20" s="13" t="s">
        <v>111</v>
      </c>
    </row>
    <row r="21" customFormat="false" ht="15" hidden="false" customHeight="false" outlineLevel="0" collapsed="false">
      <c r="A21" s="6" t="s">
        <v>112</v>
      </c>
      <c r="B21" s="28" t="n">
        <f aca="false">B20*Annahmen!$B$5/100</f>
        <v>132</v>
      </c>
      <c r="C21" s="28" t="n">
        <f aca="false">C20*Annahmen!$B$5/100</f>
        <v>79.2</v>
      </c>
      <c r="D21" s="28" t="n">
        <f aca="false">D20*Annahmen!$B$5/100</f>
        <v>79.2</v>
      </c>
      <c r="E21" s="28" t="n">
        <f aca="false">E20*Annahmen!$B$5/100</f>
        <v>79.2</v>
      </c>
      <c r="G21" s="13" t="s">
        <v>113</v>
      </c>
    </row>
    <row r="22" customFormat="false" ht="15" hidden="false" customHeight="false" outlineLevel="0" collapsed="false">
      <c r="A22" s="6" t="s">
        <v>103</v>
      </c>
      <c r="B22" s="29" t="n">
        <f aca="false">B12</f>
        <v>33</v>
      </c>
      <c r="C22" s="29" t="n">
        <f aca="false">C12</f>
        <v>19.8</v>
      </c>
      <c r="D22" s="29" t="n">
        <f aca="false">D12</f>
        <v>19.8</v>
      </c>
      <c r="E22" s="29" t="n">
        <f aca="false">E12</f>
        <v>19.8</v>
      </c>
    </row>
  </sheetData>
  <mergeCells count="4">
    <mergeCell ref="A1:G1"/>
    <mergeCell ref="A6:E6"/>
    <mergeCell ref="A11:E11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6"/>
    <col collapsed="false" customWidth="true" hidden="false" outlineLevel="0" max="6" min="6" style="0" width="3"/>
    <col collapsed="false" customWidth="true" hidden="false" outlineLevel="0" max="7" min="7" style="0" width="54"/>
  </cols>
  <sheetData>
    <row r="1" customFormat="false" ht="25.5" hidden="false" customHeight="true" outlineLevel="0" collapsed="false">
      <c r="A1" s="1" t="s">
        <v>114</v>
      </c>
      <c r="B1" s="1"/>
      <c r="C1" s="1"/>
      <c r="D1" s="1"/>
      <c r="E1" s="1"/>
      <c r="F1" s="1"/>
      <c r="G1" s="1"/>
    </row>
    <row r="3" customFormat="false" ht="22.35" hidden="false" customHeight="false" outlineLevel="0" collapsed="false">
      <c r="A3" s="8" t="s">
        <v>115</v>
      </c>
      <c r="B3" s="30" t="n">
        <f aca="false">IFERROR(INDEX(Annahmen!$B$9:$D$9,MATCH(Annahmen!$B$4,Annahmen!$B$9:$D$9,1)),Annahmen!$B$9)</f>
        <v>20000</v>
      </c>
      <c r="G3" s="13" t="s">
        <v>116</v>
      </c>
    </row>
    <row r="5" customFormat="false" ht="30" hidden="false" customHeight="true" outlineLevel="0" collapsed="false">
      <c r="A5" s="14" t="s">
        <v>46</v>
      </c>
      <c r="B5" s="14" t="s">
        <v>88</v>
      </c>
      <c r="C5" s="14" t="s">
        <v>43</v>
      </c>
      <c r="D5" s="14" t="s">
        <v>89</v>
      </c>
      <c r="E5" s="14" t="s">
        <v>90</v>
      </c>
    </row>
    <row r="6" customFormat="false" ht="30" hidden="false" customHeight="true" outlineLevel="0" collapsed="false">
      <c r="A6" s="8" t="s">
        <v>91</v>
      </c>
      <c r="B6" s="31" t="str">
        <f aca="false">Rezepturvarianten!B4</f>
        <v>Vollzucker</v>
      </c>
      <c r="C6" s="31" t="str">
        <f aca="false">Rezepturvarianten!C4</f>
        <v>Fresca-Original (Hybrid)</v>
      </c>
      <c r="D6" s="31" t="str">
        <f aca="false">Rezepturvarianten!D4</f>
        <v>Nur Zucker, reduziert</v>
      </c>
      <c r="E6" s="31" t="str">
        <f aca="false">Rezepturvarianten!E4</f>
        <v>Nur Zucker + 6 % Saft</v>
      </c>
    </row>
    <row r="7" customFormat="false" ht="15" hidden="false" customHeight="false" outlineLevel="0" collapsed="false">
      <c r="A7" s="6" t="s">
        <v>47</v>
      </c>
      <c r="B7" s="26" t="n">
        <f aca="false">IFERROR(INDEX(Annahmen!$B$10:$D$10,MATCH(Annahmen!$B$4,Annahmen!$B$9:$D$9,1)),Annahmen!$B$10)</f>
        <v>0.15</v>
      </c>
      <c r="C7" s="26" t="n">
        <f aca="false">IFERROR(INDEX(Annahmen!$B$10:$D$10,MATCH(Annahmen!$B$4,Annahmen!$B$9:$D$9,1)),Annahmen!$B$10)</f>
        <v>0.15</v>
      </c>
      <c r="D7" s="26" t="n">
        <f aca="false">IFERROR(INDEX(Annahmen!$B$10:$D$10,MATCH(Annahmen!$B$4,Annahmen!$B$9:$D$9,1)),Annahmen!$B$10)</f>
        <v>0.15</v>
      </c>
      <c r="E7" s="26" t="n">
        <f aca="false">IFERROR(INDEX(Annahmen!$B$10:$D$10,MATCH(Annahmen!$B$4,Annahmen!$B$9:$D$9,1)),Annahmen!$B$10)</f>
        <v>0.15</v>
      </c>
    </row>
    <row r="8" customFormat="false" ht="15" hidden="false" customHeight="false" outlineLevel="0" collapsed="false">
      <c r="A8" s="6" t="s">
        <v>49</v>
      </c>
      <c r="B8" s="26" t="n">
        <f aca="false">IFERROR(INDEX(Annahmen!$B$11:$D$11,MATCH(Annahmen!$B$4,Annahmen!$B$9:$D$9,1)),Annahmen!$B$11)</f>
        <v>0.05</v>
      </c>
      <c r="C8" s="26" t="n">
        <f aca="false">IFERROR(INDEX(Annahmen!$B$11:$D$11,MATCH(Annahmen!$B$4,Annahmen!$B$9:$D$9,1)),Annahmen!$B$11)</f>
        <v>0.05</v>
      </c>
      <c r="D8" s="26" t="n">
        <f aca="false">IFERROR(INDEX(Annahmen!$B$11:$D$11,MATCH(Annahmen!$B$4,Annahmen!$B$9:$D$9,1)),Annahmen!$B$11)</f>
        <v>0.05</v>
      </c>
      <c r="E8" s="26" t="n">
        <f aca="false">IFERROR(INDEX(Annahmen!$B$11:$D$11,MATCH(Annahmen!$B$4,Annahmen!$B$9:$D$9,1)),Annahmen!$B$11)</f>
        <v>0.05</v>
      </c>
    </row>
    <row r="9" customFormat="false" ht="15" hidden="false" customHeight="false" outlineLevel="0" collapsed="false">
      <c r="A9" s="6" t="s">
        <v>50</v>
      </c>
      <c r="B9" s="26" t="n">
        <f aca="false">IFERROR(INDEX(Annahmen!$B$12:$D$12,MATCH(Annahmen!$B$4,Annahmen!$B$9:$D$9,1)),Annahmen!$B$12)</f>
        <v>0.12</v>
      </c>
      <c r="C9" s="26" t="n">
        <f aca="false">IFERROR(INDEX(Annahmen!$B$12:$D$12,MATCH(Annahmen!$B$4,Annahmen!$B$9:$D$9,1)),Annahmen!$B$12)</f>
        <v>0.12</v>
      </c>
      <c r="D9" s="26" t="n">
        <f aca="false">IFERROR(INDEX(Annahmen!$B$12:$D$12,MATCH(Annahmen!$B$4,Annahmen!$B$9:$D$9,1)),Annahmen!$B$12)</f>
        <v>0.12</v>
      </c>
      <c r="E9" s="26" t="n">
        <f aca="false">IFERROR(INDEX(Annahmen!$B$12:$D$12,MATCH(Annahmen!$B$4,Annahmen!$B$9:$D$9,1)),Annahmen!$B$12)</f>
        <v>0.12</v>
      </c>
    </row>
    <row r="10" customFormat="false" ht="15" hidden="false" customHeight="false" outlineLevel="0" collapsed="false">
      <c r="A10" s="6" t="s">
        <v>117</v>
      </c>
      <c r="B10" s="26" t="n">
        <f aca="false">IFERROR(INDEX(Annahmen!$B$13:$D$13,MATCH(Annahmen!$B$4,Annahmen!$B$9:$D$9,1)),Annahmen!$B$13)</f>
        <v>0.03</v>
      </c>
      <c r="C10" s="26" t="n">
        <f aca="false">IFERROR(INDEX(Annahmen!$B$13:$D$13,MATCH(Annahmen!$B$4,Annahmen!$B$9:$D$9,1)),Annahmen!$B$13)</f>
        <v>0.03</v>
      </c>
      <c r="D10" s="26" t="n">
        <f aca="false">IFERROR(INDEX(Annahmen!$B$13:$D$13,MATCH(Annahmen!$B$4,Annahmen!$B$9:$D$9,1)),Annahmen!$B$13)</f>
        <v>0.03</v>
      </c>
      <c r="E10" s="26" t="n">
        <f aca="false">IFERROR(INDEX(Annahmen!$B$13:$D$13,MATCH(Annahmen!$B$4,Annahmen!$B$9:$D$9,1)),Annahmen!$B$13)</f>
        <v>0.03</v>
      </c>
    </row>
    <row r="11" customFormat="false" ht="15" hidden="false" customHeight="false" outlineLevel="0" collapsed="false">
      <c r="A11" s="6" t="s">
        <v>118</v>
      </c>
      <c r="B11" s="26" t="n">
        <f aca="false">IFERROR(INDEX(Annahmen!$B$14:$D$14,MATCH(Annahmen!$B$4,Annahmen!$B$9:$D$9,1)),Annahmen!$B$14)</f>
        <v>0.02</v>
      </c>
      <c r="C11" s="26" t="n">
        <f aca="false">IFERROR(INDEX(Annahmen!$B$14:$D$14,MATCH(Annahmen!$B$4,Annahmen!$B$9:$D$9,1)),Annahmen!$B$14)</f>
        <v>0.02</v>
      </c>
      <c r="D11" s="26" t="n">
        <f aca="false">IFERROR(INDEX(Annahmen!$B$14:$D$14,MATCH(Annahmen!$B$4,Annahmen!$B$9:$D$9,1)),Annahmen!$B$14)</f>
        <v>0.02</v>
      </c>
      <c r="E11" s="26" t="n">
        <f aca="false">IFERROR(INDEX(Annahmen!$B$14:$D$14,MATCH(Annahmen!$B$4,Annahmen!$B$9:$D$9,1)),Annahmen!$B$14)</f>
        <v>0.02</v>
      </c>
    </row>
    <row r="12" customFormat="false" ht="15" hidden="false" customHeight="false" outlineLevel="0" collapsed="false">
      <c r="A12" s="6" t="s">
        <v>53</v>
      </c>
      <c r="B12" s="26" t="n">
        <f aca="false">IFERROR(INDEX(Annahmen!$B$15:$D$15,MATCH(Annahmen!$B$4,Annahmen!$B$9:$D$9,1)),Annahmen!$B$15)</f>
        <v>0.025</v>
      </c>
      <c r="C12" s="26" t="n">
        <f aca="false">IFERROR(INDEX(Annahmen!$B$15:$D$15,MATCH(Annahmen!$B$4,Annahmen!$B$9:$D$9,1)),Annahmen!$B$15)</f>
        <v>0.025</v>
      </c>
      <c r="D12" s="26" t="n">
        <f aca="false">IFERROR(INDEX(Annahmen!$B$15:$D$15,MATCH(Annahmen!$B$4,Annahmen!$B$9:$D$9,1)),Annahmen!$B$15)</f>
        <v>0.025</v>
      </c>
      <c r="E12" s="26" t="n">
        <f aca="false">IFERROR(INDEX(Annahmen!$B$15:$D$15,MATCH(Annahmen!$B$4,Annahmen!$B$9:$D$9,1)),Annahmen!$B$15)</f>
        <v>0.025</v>
      </c>
    </row>
    <row r="13" customFormat="false" ht="15" hidden="false" customHeight="false" outlineLevel="0" collapsed="false">
      <c r="A13" s="6" t="s">
        <v>119</v>
      </c>
      <c r="B13" s="32" t="n">
        <f aca="false">Rezepturvarianten!B13</f>
        <v>0.0231</v>
      </c>
      <c r="C13" s="32" t="n">
        <f aca="false">Rezepturvarianten!C13</f>
        <v>0.01386</v>
      </c>
      <c r="D13" s="32" t="n">
        <f aca="false">Rezepturvarianten!D13</f>
        <v>0.01386</v>
      </c>
      <c r="E13" s="32" t="n">
        <f aca="false">Rezepturvarianten!E13</f>
        <v>0.01386</v>
      </c>
    </row>
    <row r="14" customFormat="false" ht="15" hidden="false" customHeight="false" outlineLevel="0" collapsed="false">
      <c r="A14" s="6" t="s">
        <v>120</v>
      </c>
      <c r="B14" s="32" t="n">
        <f aca="false">Rezepturvarianten!B15</f>
        <v>0.00528</v>
      </c>
      <c r="C14" s="32" t="n">
        <f aca="false">Rezepturvarianten!C15</f>
        <v>0.00528</v>
      </c>
      <c r="D14" s="32" t="n">
        <f aca="false">Rezepturvarianten!D15</f>
        <v>0.00528</v>
      </c>
      <c r="E14" s="32" t="n">
        <f aca="false">Rezepturvarianten!E15</f>
        <v>0.03168</v>
      </c>
    </row>
    <row r="15" customFormat="false" ht="15" hidden="false" customHeight="false" outlineLevel="0" collapsed="false">
      <c r="A15" s="6" t="s">
        <v>121</v>
      </c>
      <c r="B15" s="32" t="n">
        <f aca="false">Rezepturvarianten!B16</f>
        <v>0</v>
      </c>
      <c r="C15" s="32" t="n">
        <f aca="false">Rezepturvarianten!C16</f>
        <v>0.01</v>
      </c>
      <c r="D15" s="32" t="n">
        <f aca="false">Rezepturvarianten!D16</f>
        <v>0</v>
      </c>
      <c r="E15" s="32" t="n">
        <f aca="false">Rezepturvarianten!E16</f>
        <v>0</v>
      </c>
    </row>
    <row r="16" customFormat="false" ht="15" hidden="false" customHeight="false" outlineLevel="0" collapsed="false">
      <c r="A16" s="18" t="s">
        <v>122</v>
      </c>
      <c r="B16" s="27" t="n">
        <f aca="false">SUM(B7:B15)</f>
        <v>0.42338</v>
      </c>
      <c r="C16" s="27" t="n">
        <f aca="false">SUM(C7:C15)</f>
        <v>0.42414</v>
      </c>
      <c r="D16" s="27" t="n">
        <f aca="false">SUM(D7:D15)</f>
        <v>0.41414</v>
      </c>
      <c r="E16" s="27" t="n">
        <f aca="false">SUM(E7:E15)</f>
        <v>0.44054</v>
      </c>
    </row>
    <row r="17" customFormat="false" ht="15" hidden="false" customHeight="false" outlineLevel="0" collapsed="false">
      <c r="A17" s="6" t="s">
        <v>123</v>
      </c>
      <c r="B17" s="32" t="n">
        <f aca="false">Annahmen!$B$23</f>
        <v>0.02</v>
      </c>
      <c r="C17" s="32" t="n">
        <f aca="false">Annahmen!$B$23</f>
        <v>0.02</v>
      </c>
      <c r="D17" s="32" t="n">
        <f aca="false">Annahmen!$B$23</f>
        <v>0.02</v>
      </c>
      <c r="E17" s="32" t="n">
        <f aca="false">Annahmen!$B$23</f>
        <v>0.02</v>
      </c>
    </row>
    <row r="18" customFormat="false" ht="15" hidden="false" customHeight="false" outlineLevel="0" collapsed="false">
      <c r="A18" s="6" t="s">
        <v>124</v>
      </c>
      <c r="B18" s="32" t="n">
        <f aca="false">Annahmen!$B$24</f>
        <v>0.02</v>
      </c>
      <c r="C18" s="32" t="n">
        <f aca="false">Annahmen!$B$24</f>
        <v>0.02</v>
      </c>
      <c r="D18" s="32" t="n">
        <f aca="false">Annahmen!$B$24</f>
        <v>0.02</v>
      </c>
      <c r="E18" s="32" t="n">
        <f aca="false">Annahmen!$B$24</f>
        <v>0.02</v>
      </c>
    </row>
    <row r="19" customFormat="false" ht="15" hidden="false" customHeight="false" outlineLevel="0" collapsed="false">
      <c r="A19" s="33" t="s">
        <v>125</v>
      </c>
      <c r="B19" s="34" t="n">
        <f aca="false">B16+B17+B18</f>
        <v>0.46338</v>
      </c>
      <c r="C19" s="34" t="n">
        <f aca="false">C16+C17+C18</f>
        <v>0.46414</v>
      </c>
      <c r="D19" s="34" t="n">
        <f aca="false">D16+D17+D18</f>
        <v>0.45414</v>
      </c>
      <c r="E19" s="34" t="n">
        <f aca="false">E16+E17+E18</f>
        <v>0.48054</v>
      </c>
    </row>
    <row r="21" customFormat="false" ht="15" hidden="false" customHeight="false" outlineLevel="0" collapsed="false">
      <c r="A21" s="6" t="s">
        <v>126</v>
      </c>
      <c r="B21" s="35" t="n">
        <f aca="false">Rezepturvarianten!B21</f>
        <v>132</v>
      </c>
      <c r="C21" s="35" t="n">
        <f aca="false">Rezepturvarianten!C21</f>
        <v>79.2</v>
      </c>
      <c r="D21" s="35" t="n">
        <f aca="false">Rezepturvarianten!D21</f>
        <v>79.2</v>
      </c>
      <c r="E21" s="35" t="n">
        <f aca="false">Rezepturvarianten!E21</f>
        <v>79.2</v>
      </c>
    </row>
    <row r="22" customFormat="false" ht="15" hidden="false" customHeight="false" outlineLevel="0" collapsed="false">
      <c r="A22" s="6" t="s">
        <v>127</v>
      </c>
      <c r="B22" s="29" t="n">
        <f aca="false">Rezepturvarianten!B22</f>
        <v>33</v>
      </c>
      <c r="C22" s="29" t="n">
        <f aca="false">Rezepturvarianten!C22</f>
        <v>19.8</v>
      </c>
      <c r="D22" s="29" t="n">
        <f aca="false">Rezepturvarianten!D22</f>
        <v>19.8</v>
      </c>
      <c r="E22" s="29" t="n">
        <f aca="false">Rezepturvarianten!E22</f>
        <v>19.8</v>
      </c>
    </row>
    <row r="24" customFormat="false" ht="15" hidden="false" customHeight="false" outlineLevel="0" collapsed="false">
      <c r="A24" s="2" t="s">
        <v>128</v>
      </c>
      <c r="B24" s="2"/>
      <c r="C24" s="2"/>
      <c r="D24" s="2"/>
      <c r="E24" s="2"/>
    </row>
    <row r="25" customFormat="false" ht="30" hidden="false" customHeight="true" outlineLevel="0" collapsed="false">
      <c r="A25" s="14" t="s">
        <v>129</v>
      </c>
      <c r="B25" s="14" t="s">
        <v>88</v>
      </c>
      <c r="C25" s="14" t="s">
        <v>43</v>
      </c>
      <c r="D25" s="14" t="s">
        <v>89</v>
      </c>
      <c r="E25" s="14" t="s">
        <v>90</v>
      </c>
    </row>
    <row r="26" customFormat="false" ht="30" hidden="false" customHeight="true" outlineLevel="0" collapsed="false">
      <c r="A26" s="35" t="n">
        <f aca="false">Annahmen!$B$9</f>
        <v>20000</v>
      </c>
      <c r="B26" s="26" t="n">
        <f aca="false">SUM(Annahmen!$B$10:$B$15)+Rezepturvarianten!B$17+Annahmen!$B$23+Annahmen!$B$24</f>
        <v>0.46338</v>
      </c>
      <c r="C26" s="26" t="n">
        <f aca="false">SUM(Annahmen!$B$10:$B$15)+Rezepturvarianten!C$17+Annahmen!$B$23+Annahmen!$B$24</f>
        <v>0.46414</v>
      </c>
      <c r="D26" s="26" t="n">
        <f aca="false">SUM(Annahmen!$B$10:$B$15)+Rezepturvarianten!D$17+Annahmen!$B$23+Annahmen!$B$24</f>
        <v>0.45414</v>
      </c>
      <c r="E26" s="26" t="n">
        <f aca="false">SUM(Annahmen!$B$10:$B$15)+Rezepturvarianten!E$17+Annahmen!$B$23+Annahmen!$B$24</f>
        <v>0.48054</v>
      </c>
      <c r="G26" s="13" t="s">
        <v>130</v>
      </c>
    </row>
    <row r="27" customFormat="false" ht="15" hidden="false" customHeight="false" outlineLevel="0" collapsed="false">
      <c r="A27" s="35" t="n">
        <f aca="false">Annahmen!$C$9</f>
        <v>50000</v>
      </c>
      <c r="B27" s="26" t="n">
        <f aca="false">SUM(Annahmen!$C$10:$C$15)+Rezepturvarianten!B$17+Annahmen!$B$23+Annahmen!$B$24</f>
        <v>0.39838</v>
      </c>
      <c r="C27" s="26" t="n">
        <f aca="false">SUM(Annahmen!$C$10:$C$15)+Rezepturvarianten!C$17+Annahmen!$B$23+Annahmen!$B$24</f>
        <v>0.39914</v>
      </c>
      <c r="D27" s="26" t="n">
        <f aca="false">SUM(Annahmen!$C$10:$C$15)+Rezepturvarianten!D$17+Annahmen!$B$23+Annahmen!$B$24</f>
        <v>0.38914</v>
      </c>
      <c r="E27" s="26" t="n">
        <f aca="false">SUM(Annahmen!$C$10:$C$15)+Rezepturvarianten!E$17+Annahmen!$B$23+Annahmen!$B$24</f>
        <v>0.41554</v>
      </c>
    </row>
    <row r="28" customFormat="false" ht="15" hidden="false" customHeight="false" outlineLevel="0" collapsed="false">
      <c r="A28" s="35" t="n">
        <f aca="false">Annahmen!$D$9</f>
        <v>100000</v>
      </c>
      <c r="B28" s="26" t="n">
        <f aca="false">SUM(Annahmen!$D$10:$D$15)+Rezepturvarianten!B$17+Annahmen!$B$23+Annahmen!$B$24</f>
        <v>0.34438</v>
      </c>
      <c r="C28" s="26" t="n">
        <f aca="false">SUM(Annahmen!$D$10:$D$15)+Rezepturvarianten!C$17+Annahmen!$B$23+Annahmen!$B$24</f>
        <v>0.34514</v>
      </c>
      <c r="D28" s="26" t="n">
        <f aca="false">SUM(Annahmen!$D$10:$D$15)+Rezepturvarianten!D$17+Annahmen!$B$23+Annahmen!$B$24</f>
        <v>0.33514</v>
      </c>
      <c r="E28" s="26" t="n">
        <f aca="false">SUM(Annahmen!$D$10:$D$15)+Rezepturvarianten!E$17+Annahmen!$B$23+Annahmen!$B$24</f>
        <v>0.36154</v>
      </c>
    </row>
  </sheetData>
  <mergeCells count="2">
    <mergeCell ref="A1:G1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7"/>
    <col collapsed="false" customWidth="true" hidden="false" outlineLevel="0" max="6" min="5" style="0" width="12"/>
    <col collapsed="false" customWidth="true" hidden="false" outlineLevel="0" max="7" min="7" style="0" width="19"/>
    <col collapsed="false" customWidth="true" hidden="false" outlineLevel="0" max="8" min="8" style="0" width="3"/>
    <col collapsed="false" customWidth="true" hidden="false" outlineLevel="0" max="9" min="9" style="0" width="52"/>
  </cols>
  <sheetData>
    <row r="1" customFormat="false" ht="25.5" hidden="false" customHeight="true" outlineLevel="0" collapsed="false">
      <c r="A1" s="1" t="s">
        <v>131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 t="s">
        <v>132</v>
      </c>
      <c r="B3" s="36" t="str">
        <f aca="false">Annahmen!$B$6</f>
        <v>B</v>
      </c>
    </row>
    <row r="4" customFormat="false" ht="15" hidden="false" customHeight="false" outlineLevel="0" collapsed="false">
      <c r="A4" s="6" t="s">
        <v>91</v>
      </c>
      <c r="B4" s="37" t="str">
        <f aca="false">IFERROR(INDEX(Rezepturvarianten!$B$4:$E$4,MATCH(Annahmen!$B$6,Stückkosten!$B$5:$E$5,0)),"?")</f>
        <v>Fresca-Original (Hybrid)</v>
      </c>
    </row>
    <row r="5" customFormat="false" ht="15" hidden="false" customHeight="false" outlineLevel="0" collapsed="false">
      <c r="A5" s="8" t="s">
        <v>133</v>
      </c>
      <c r="B5" s="38" t="n">
        <f aca="false">IFERROR(INDEX(Stückkosten!$B$19:$E$19,MATCH(Annahmen!$B$6,Stückkosten!$B$5:$E$5,0)),0)</f>
        <v>0.46414</v>
      </c>
    </row>
    <row r="7" customFormat="false" ht="30" hidden="false" customHeight="true" outlineLevel="0" collapsed="false">
      <c r="A7" s="14" t="s">
        <v>78</v>
      </c>
      <c r="B7" s="14" t="s">
        <v>134</v>
      </c>
      <c r="C7" s="14" t="s">
        <v>135</v>
      </c>
      <c r="D7" s="14" t="s">
        <v>136</v>
      </c>
      <c r="E7" s="14" t="s">
        <v>137</v>
      </c>
      <c r="F7" s="14" t="s">
        <v>138</v>
      </c>
      <c r="G7" s="14" t="s">
        <v>139</v>
      </c>
    </row>
    <row r="8" customFormat="false" ht="15" hidden="false" customHeight="false" outlineLevel="0" collapsed="false">
      <c r="A8" s="37" t="str">
        <f aca="false">Annahmen!$A$44</f>
        <v>Online-Direktverkauf</v>
      </c>
      <c r="B8" s="39" t="n">
        <f aca="false">Annahmen!$B$44</f>
        <v>2.2</v>
      </c>
      <c r="C8" s="32" t="n">
        <f aca="false">$B$5</f>
        <v>0.46414</v>
      </c>
      <c r="D8" s="40" t="n">
        <f aca="false">B8-C8</f>
        <v>1.73586</v>
      </c>
      <c r="E8" s="41" t="n">
        <f aca="false">IFERROR(D8/B8,0)</f>
        <v>0.789027272727273</v>
      </c>
      <c r="F8" s="42" t="n">
        <f aca="false">Annahmen!$C$44</f>
        <v>0.25</v>
      </c>
      <c r="G8" s="43" t="n">
        <f aca="false">D8*F8</f>
        <v>0.433965</v>
      </c>
      <c r="I8" s="13" t="s">
        <v>140</v>
      </c>
    </row>
    <row r="9" customFormat="false" ht="15" hidden="false" customHeight="false" outlineLevel="0" collapsed="false">
      <c r="A9" s="37" t="str">
        <f aca="false">Annahmen!$A$45</f>
        <v>Gastronomie</v>
      </c>
      <c r="B9" s="39" t="n">
        <f aca="false">Annahmen!$B$45</f>
        <v>1</v>
      </c>
      <c r="C9" s="32" t="n">
        <f aca="false">$B$5</f>
        <v>0.46414</v>
      </c>
      <c r="D9" s="40" t="n">
        <f aca="false">B9-C9</f>
        <v>0.53586</v>
      </c>
      <c r="E9" s="41" t="n">
        <f aca="false">IFERROR(D9/B9,0)</f>
        <v>0.53586</v>
      </c>
      <c r="F9" s="42" t="n">
        <f aca="false">Annahmen!$C$45</f>
        <v>0.6</v>
      </c>
      <c r="G9" s="43" t="n">
        <f aca="false">D9*F9</f>
        <v>0.321516</v>
      </c>
    </row>
    <row r="10" customFormat="false" ht="27.75" hidden="false" customHeight="true" outlineLevel="0" collapsed="false">
      <c r="A10" s="37" t="str">
        <f aca="false">Annahmen!$A$46</f>
        <v>Feinkost / Getränkefachhandel</v>
      </c>
      <c r="B10" s="39" t="n">
        <f aca="false">Annahmen!$B$46</f>
        <v>0.85</v>
      </c>
      <c r="C10" s="32" t="n">
        <f aca="false">$B$5</f>
        <v>0.46414</v>
      </c>
      <c r="D10" s="40" t="n">
        <f aca="false">B10-C10</f>
        <v>0.38586</v>
      </c>
      <c r="E10" s="41" t="n">
        <f aca="false">IFERROR(D10/B10,0)</f>
        <v>0.453952941176471</v>
      </c>
      <c r="F10" s="42" t="n">
        <f aca="false">Annahmen!$C$46</f>
        <v>0.15</v>
      </c>
      <c r="G10" s="43" t="n">
        <f aca="false">D10*F10</f>
        <v>0.057879</v>
      </c>
      <c r="I10" s="13" t="s">
        <v>141</v>
      </c>
    </row>
    <row r="11" customFormat="false" ht="15" hidden="false" customHeight="false" outlineLevel="0" collapsed="false">
      <c r="A11" s="37" t="str">
        <f aca="false">Annahmen!$A$47</f>
        <v>LEH / Großhandel</v>
      </c>
      <c r="B11" s="39" t="n">
        <f aca="false">Annahmen!$B$47</f>
        <v>0.72</v>
      </c>
      <c r="C11" s="32" t="n">
        <f aca="false">$B$5</f>
        <v>0.46414</v>
      </c>
      <c r="D11" s="40" t="n">
        <f aca="false">B11-C11</f>
        <v>0.25586</v>
      </c>
      <c r="E11" s="41" t="n">
        <f aca="false">IFERROR(D11/B11,0)</f>
        <v>0.355361111111111</v>
      </c>
      <c r="F11" s="42" t="n">
        <f aca="false">Annahmen!$C$47</f>
        <v>0</v>
      </c>
      <c r="G11" s="43" t="n">
        <f aca="false">D11*F11</f>
        <v>0</v>
      </c>
    </row>
    <row r="12" customFormat="false" ht="15" hidden="false" customHeight="false" outlineLevel="0" collapsed="false">
      <c r="A12" s="33" t="s">
        <v>142</v>
      </c>
      <c r="B12" s="44" t="n">
        <f aca="false">SUMPRODUCT($B$8:$B$11,$F$8:$F$11)</f>
        <v>1.2775</v>
      </c>
      <c r="C12" s="34" t="n">
        <f aca="false">$B$5</f>
        <v>0.46414</v>
      </c>
      <c r="D12" s="44" t="n">
        <f aca="false">SUM(G8:G11)</f>
        <v>0.81336</v>
      </c>
      <c r="E12" s="45" t="n">
        <f aca="false">IFERROR(D12/B12,0)</f>
        <v>0.636681017612525</v>
      </c>
      <c r="F12" s="45" t="n">
        <f aca="false">SUM(F8:F11)</f>
        <v>1</v>
      </c>
      <c r="G12" s="44" t="n">
        <f aca="false">SUM(G8:G11)</f>
        <v>0.81336</v>
      </c>
    </row>
    <row r="14" customFormat="false" ht="15" hidden="false" customHeight="false" outlineLevel="0" collapsed="false">
      <c r="A14" s="8" t="s">
        <v>143</v>
      </c>
      <c r="B14" s="40" t="n">
        <f aca="false">B12</f>
        <v>1.2775</v>
      </c>
    </row>
    <row r="15" customFormat="false" ht="15" hidden="false" customHeight="false" outlineLevel="0" collapsed="false">
      <c r="A15" s="8" t="s">
        <v>144</v>
      </c>
      <c r="B15" s="46" t="n">
        <f aca="false">D12</f>
        <v>0.81336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9"/>
    <col collapsed="false" customWidth="true" hidden="false" outlineLevel="0" max="4" min="4" style="0" width="22"/>
    <col collapsed="false" customWidth="true" hidden="false" outlineLevel="0" max="5" min="5" style="0" width="19"/>
    <col collapsed="false" customWidth="true" hidden="false" outlineLevel="0" max="6" min="6" style="0" width="20"/>
    <col collapsed="false" customWidth="true" hidden="false" outlineLevel="0" max="7" min="7" style="0" width="19"/>
    <col collapsed="false" customWidth="true" hidden="false" outlineLevel="0" max="8" min="8" style="0" width="3"/>
    <col collapsed="false" customWidth="true" hidden="false" outlineLevel="0" max="9" min="9" style="0" width="48"/>
  </cols>
  <sheetData>
    <row r="1" customFormat="false" ht="25.5" hidden="false" customHeight="true" outlineLevel="0" collapsed="false">
      <c r="A1" s="1" t="s">
        <v>145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146</v>
      </c>
      <c r="B3" s="2"/>
      <c r="C3" s="2"/>
    </row>
    <row r="4" customFormat="false" ht="15" hidden="false" customHeight="false" outlineLevel="0" collapsed="false">
      <c r="A4" s="6" t="s">
        <v>147</v>
      </c>
      <c r="B4" s="39" t="n">
        <f aca="false">Annahmen!$B$33</f>
        <v>7450</v>
      </c>
    </row>
    <row r="5" customFormat="false" ht="15" hidden="false" customHeight="false" outlineLevel="0" collapsed="false">
      <c r="A5" s="6" t="s">
        <v>148</v>
      </c>
      <c r="B5" s="39" t="n">
        <f aca="false">Annahmen!$B$40</f>
        <v>6000</v>
      </c>
    </row>
    <row r="6" customFormat="false" ht="15" hidden="false" customHeight="false" outlineLevel="0" collapsed="false">
      <c r="A6" s="18" t="s">
        <v>149</v>
      </c>
      <c r="B6" s="19" t="n">
        <f aca="false">B4+B5</f>
        <v>13450</v>
      </c>
    </row>
    <row r="8" customFormat="false" ht="15" hidden="false" customHeight="false" outlineLevel="0" collapsed="false">
      <c r="A8" s="2" t="s">
        <v>150</v>
      </c>
      <c r="B8" s="2"/>
      <c r="C8" s="2"/>
    </row>
    <row r="9" customFormat="false" ht="15" hidden="false" customHeight="false" outlineLevel="0" collapsed="false">
      <c r="A9" s="6" t="s">
        <v>144</v>
      </c>
      <c r="B9" s="39" t="n">
        <f aca="false">'Marge &amp; Preiskette'!$B$15</f>
        <v>0.81336</v>
      </c>
    </row>
    <row r="10" customFormat="false" ht="15" hidden="false" customHeight="false" outlineLevel="0" collapsed="false">
      <c r="A10" s="8" t="s">
        <v>151</v>
      </c>
      <c r="B10" s="47" t="n">
        <f aca="false">IFERROR($B$6/$B$9,0)</f>
        <v>16536.343070719</v>
      </c>
    </row>
    <row r="11" customFormat="false" ht="15" hidden="false" customHeight="false" outlineLevel="0" collapsed="false">
      <c r="A11" s="6" t="s">
        <v>129</v>
      </c>
      <c r="B11" s="35" t="n">
        <f aca="false">Annahmen!$B$4</f>
        <v>20000</v>
      </c>
    </row>
    <row r="12" customFormat="false" ht="30" hidden="false" customHeight="true" outlineLevel="0" collapsed="false">
      <c r="A12" s="8" t="s">
        <v>152</v>
      </c>
      <c r="B12" s="48" t="n">
        <f aca="false">IFERROR($B$10/$B$11,0)</f>
        <v>0.82681715353595</v>
      </c>
      <c r="I12" s="49" t="str">
        <f aca="false">IF(B12&gt;1,"ACHTUNG: Die erste Charge kann die Kosten rechnerisch nicht decken.","OK — der Break-even liegt innerhalb der ersten Charge.")</f>
        <v>OK — der Break-even liegt innerhalb der ersten Charge.</v>
      </c>
    </row>
    <row r="14" customFormat="false" ht="15" hidden="false" customHeight="false" outlineLevel="0" collapsed="false">
      <c r="A14" s="2" t="s">
        <v>153</v>
      </c>
      <c r="B14" s="2"/>
      <c r="C14" s="2"/>
      <c r="D14" s="2"/>
      <c r="E14" s="2"/>
      <c r="F14" s="2"/>
      <c r="G14" s="2"/>
    </row>
    <row r="15" customFormat="false" ht="30" hidden="false" customHeight="true" outlineLevel="0" collapsed="false">
      <c r="A15" s="14" t="s">
        <v>154</v>
      </c>
      <c r="B15" s="14" t="s">
        <v>155</v>
      </c>
      <c r="C15" s="14" t="s">
        <v>156</v>
      </c>
      <c r="D15" s="14" t="s">
        <v>157</v>
      </c>
      <c r="E15" s="14" t="s">
        <v>158</v>
      </c>
      <c r="F15" s="14" t="s">
        <v>159</v>
      </c>
      <c r="G15" s="14" t="s">
        <v>160</v>
      </c>
    </row>
    <row r="16" customFormat="false" ht="43.5" hidden="false" customHeight="true" outlineLevel="0" collapsed="false">
      <c r="A16" s="20" t="n">
        <v>0.5</v>
      </c>
      <c r="B16" s="28" t="n">
        <f aca="false">$B$11*A16</f>
        <v>10000</v>
      </c>
      <c r="C16" s="43" t="n">
        <f aca="false">B16*'Marge &amp; Preiskette'!$B$14</f>
        <v>12775</v>
      </c>
      <c r="D16" s="43" t="n">
        <f aca="false">-$B$11*'Marge &amp; Preiskette'!$B$5</f>
        <v>-9282.8</v>
      </c>
      <c r="E16" s="43" t="n">
        <f aca="false">C16+D16</f>
        <v>3492.2</v>
      </c>
      <c r="F16" s="43" t="n">
        <f aca="false">-$B$6</f>
        <v>-13450</v>
      </c>
      <c r="G16" s="50" t="n">
        <f aca="false">E16+F16</f>
        <v>-9957.8</v>
      </c>
      <c r="I16" s="13" t="s">
        <v>161</v>
      </c>
    </row>
    <row r="17" customFormat="false" ht="15" hidden="false" customHeight="false" outlineLevel="0" collapsed="false">
      <c r="A17" s="20" t="n">
        <v>0.75</v>
      </c>
      <c r="B17" s="28" t="n">
        <f aca="false">$B$11*A17</f>
        <v>15000</v>
      </c>
      <c r="C17" s="43" t="n">
        <f aca="false">B17*'Marge &amp; Preiskette'!$B$14</f>
        <v>19162.5</v>
      </c>
      <c r="D17" s="43" t="n">
        <f aca="false">-$B$11*'Marge &amp; Preiskette'!$B$5</f>
        <v>-9282.8</v>
      </c>
      <c r="E17" s="43" t="n">
        <f aca="false">C17+D17</f>
        <v>9879.7</v>
      </c>
      <c r="F17" s="43" t="n">
        <f aca="false">-$B$6</f>
        <v>-13450</v>
      </c>
      <c r="G17" s="50" t="n">
        <f aca="false">E17+F17</f>
        <v>-3570.3</v>
      </c>
    </row>
    <row r="18" customFormat="false" ht="15" hidden="false" customHeight="false" outlineLevel="0" collapsed="false">
      <c r="A18" s="20" t="n">
        <v>1</v>
      </c>
      <c r="B18" s="28" t="n">
        <f aca="false">$B$11*A18</f>
        <v>20000</v>
      </c>
      <c r="C18" s="43" t="n">
        <f aca="false">B18*'Marge &amp; Preiskette'!$B$14</f>
        <v>25550</v>
      </c>
      <c r="D18" s="43" t="n">
        <f aca="false">-$B$11*'Marge &amp; Preiskette'!$B$5</f>
        <v>-9282.8</v>
      </c>
      <c r="E18" s="43" t="n">
        <f aca="false">C18+D18</f>
        <v>16267.2</v>
      </c>
      <c r="F18" s="43" t="n">
        <f aca="false">-$B$6</f>
        <v>-13450</v>
      </c>
      <c r="G18" s="50" t="n">
        <f aca="false">E18+F18</f>
        <v>2817.2</v>
      </c>
    </row>
  </sheetData>
  <mergeCells count="4">
    <mergeCell ref="A1:H1"/>
    <mergeCell ref="A3:C3"/>
    <mergeCell ref="A8:C8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7"/>
    <col collapsed="false" customWidth="true" hidden="false" outlineLevel="0" max="4" min="4" style="0" width="16"/>
    <col collapsed="false" customWidth="true" hidden="false" outlineLevel="0" max="7" min="5" style="0" width="18"/>
    <col collapsed="false" customWidth="true" hidden="false" outlineLevel="0" max="8" min="8" style="0" width="16"/>
    <col collapsed="false" customWidth="true" hidden="false" outlineLevel="0" max="9" min="9" style="0" width="3"/>
    <col collapsed="false" customWidth="true" hidden="false" outlineLevel="0" max="10" min="10" style="0" width="46"/>
  </cols>
  <sheetData>
    <row r="1" customFormat="false" ht="25.5" hidden="false" customHeight="true" outlineLevel="0" collapsed="false">
      <c r="A1" s="1" t="s">
        <v>162</v>
      </c>
      <c r="B1" s="1"/>
      <c r="C1" s="1"/>
      <c r="D1" s="1"/>
      <c r="E1" s="1"/>
      <c r="F1" s="1"/>
      <c r="G1" s="1"/>
      <c r="H1" s="1"/>
      <c r="I1" s="1"/>
    </row>
    <row r="3" customFormat="false" ht="30" hidden="false" customHeight="true" outlineLevel="0" collapsed="false">
      <c r="A3" s="14" t="s">
        <v>163</v>
      </c>
      <c r="B3" s="14" t="s">
        <v>164</v>
      </c>
      <c r="C3" s="14" t="s">
        <v>165</v>
      </c>
      <c r="D3" s="14" t="s">
        <v>166</v>
      </c>
      <c r="E3" s="14" t="s">
        <v>167</v>
      </c>
      <c r="F3" s="14" t="s">
        <v>168</v>
      </c>
      <c r="G3" s="14" t="s">
        <v>160</v>
      </c>
      <c r="H3" s="14" t="s">
        <v>169</v>
      </c>
    </row>
    <row r="4" customFormat="false" ht="43.5" hidden="false" customHeight="true" outlineLevel="0" collapsed="false">
      <c r="A4" s="8" t="s">
        <v>170</v>
      </c>
      <c r="B4" s="11" t="n">
        <v>20000</v>
      </c>
      <c r="C4" s="26" t="n">
        <f aca="false">IFERROR(INDEX(Stückkosten!$B$26:$E$28,MATCH(B4,Stückkosten!$A$26:$A$28,1),MATCH(Annahmen!$B$6,Stückkosten!$B$25:$E$25,0)),0)</f>
        <v>0.46414</v>
      </c>
      <c r="D4" s="39" t="n">
        <f aca="false">'Marge &amp; Preiskette'!$B$14</f>
        <v>1.2775</v>
      </c>
      <c r="E4" s="43" t="n">
        <f aca="false">B4*(D4-C4)</f>
        <v>16267.2</v>
      </c>
      <c r="F4" s="17" t="n">
        <v>4000</v>
      </c>
      <c r="G4" s="50" t="n">
        <f aca="false">E4-F4</f>
        <v>12267.2</v>
      </c>
      <c r="H4" s="43" t="n">
        <f aca="false">G4/12</f>
        <v>1022.26666666667</v>
      </c>
      <c r="J4" s="13" t="s">
        <v>171</v>
      </c>
    </row>
    <row r="5" customFormat="false" ht="15" hidden="false" customHeight="false" outlineLevel="0" collapsed="false">
      <c r="A5" s="8" t="s">
        <v>172</v>
      </c>
      <c r="B5" s="11" t="n">
        <v>80000</v>
      </c>
      <c r="C5" s="26" t="n">
        <f aca="false">IFERROR(INDEX(Stückkosten!$B$26:$E$28,MATCH(B5,Stückkosten!$A$26:$A$28,1),MATCH(Annahmen!$B$6,Stückkosten!$B$25:$E$25,0)),0)</f>
        <v>0.39914</v>
      </c>
      <c r="D5" s="39" t="n">
        <f aca="false">'Marge &amp; Preiskette'!$B$14</f>
        <v>1.2775</v>
      </c>
      <c r="E5" s="43" t="n">
        <f aca="false">B5*(D5-C5)</f>
        <v>70268.8</v>
      </c>
      <c r="F5" s="17" t="n">
        <v>25000</v>
      </c>
      <c r="G5" s="50" t="n">
        <f aca="false">E5-F5</f>
        <v>45268.8</v>
      </c>
      <c r="H5" s="43" t="n">
        <f aca="false">G5/12</f>
        <v>3772.4</v>
      </c>
    </row>
    <row r="6" customFormat="false" ht="43.5" hidden="false" customHeight="true" outlineLevel="0" collapsed="false">
      <c r="A6" s="8" t="s">
        <v>173</v>
      </c>
      <c r="B6" s="11" t="n">
        <v>200000</v>
      </c>
      <c r="C6" s="26" t="n">
        <f aca="false">IFERROR(INDEX(Stückkosten!$B$26:$E$28,MATCH(B6,Stückkosten!$A$26:$A$28,1),MATCH(Annahmen!$B$6,Stückkosten!$B$25:$E$25,0)),0)</f>
        <v>0.34514</v>
      </c>
      <c r="D6" s="39" t="n">
        <f aca="false">'Marge &amp; Preiskette'!$B$14</f>
        <v>1.2775</v>
      </c>
      <c r="E6" s="43" t="n">
        <f aca="false">B6*(D6-C6)</f>
        <v>186472</v>
      </c>
      <c r="F6" s="17" t="n">
        <v>70000</v>
      </c>
      <c r="G6" s="50" t="n">
        <f aca="false">E6-F6</f>
        <v>116472</v>
      </c>
      <c r="H6" s="43" t="n">
        <f aca="false">G6/12</f>
        <v>9706</v>
      </c>
      <c r="J6" s="13" t="s">
        <v>174</v>
      </c>
    </row>
    <row r="7" customFormat="false" ht="15" hidden="false" customHeight="false" outlineLevel="0" collapsed="false">
      <c r="A7" s="8" t="s">
        <v>175</v>
      </c>
      <c r="B7" s="11" t="n">
        <v>500000</v>
      </c>
      <c r="C7" s="26" t="n">
        <f aca="false">IFERROR(INDEX(Stückkosten!$B$26:$E$28,MATCH(B7,Stückkosten!$A$26:$A$28,1),MATCH(Annahmen!$B$6,Stückkosten!$B$25:$E$25,0)),0)</f>
        <v>0.34514</v>
      </c>
      <c r="D7" s="39" t="n">
        <f aca="false">'Marge &amp; Preiskette'!$B$14</f>
        <v>1.2775</v>
      </c>
      <c r="E7" s="43" t="n">
        <f aca="false">B7*(D7-C7)</f>
        <v>466180</v>
      </c>
      <c r="F7" s="17" t="n">
        <v>180000</v>
      </c>
      <c r="G7" s="50" t="n">
        <f aca="false">E7-F7</f>
        <v>286180</v>
      </c>
      <c r="H7" s="43" t="n">
        <f aca="false">G7/12</f>
        <v>23848.3333333333</v>
      </c>
    </row>
    <row r="10" customFormat="false" ht="15" hidden="false" customHeight="false" outlineLevel="0" collapsed="false">
      <c r="A10" s="2" t="s">
        <v>176</v>
      </c>
      <c r="B10" s="2"/>
      <c r="C10" s="2"/>
      <c r="D10" s="2"/>
      <c r="E10" s="2"/>
      <c r="F10" s="2"/>
      <c r="G10" s="2"/>
      <c r="H10" s="2"/>
    </row>
    <row r="11" customFormat="false" ht="15" hidden="false" customHeight="false" outlineLevel="0" collapsed="false">
      <c r="A11" s="6" t="s">
        <v>177</v>
      </c>
      <c r="B11" s="28" t="n">
        <f aca="false">B6/365</f>
        <v>547.945205479452</v>
      </c>
    </row>
    <row r="12" customFormat="false" ht="15" hidden="false" customHeight="false" outlineLevel="0" collapsed="false">
      <c r="A12" s="6" t="s">
        <v>178</v>
      </c>
      <c r="B12" s="11" t="n">
        <v>100</v>
      </c>
    </row>
    <row r="13" customFormat="false" ht="15" hidden="false" customHeight="false" outlineLevel="0" collapsed="false">
      <c r="A13" s="6" t="s">
        <v>179</v>
      </c>
      <c r="B13" s="25" t="n">
        <f aca="false">IFERROR($B$11/$B$12,0)</f>
        <v>5.47945205479452</v>
      </c>
      <c r="J13" s="13" t="s">
        <v>180</v>
      </c>
    </row>
  </sheetData>
  <mergeCells count="2">
    <mergeCell ref="A1:I1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2"/>
    <col collapsed="false" customWidth="true" hidden="false" outlineLevel="0" max="11" min="11" style="0" width="38"/>
    <col collapsed="false" customWidth="true" hidden="false" outlineLevel="0" max="12" min="12" style="0" width="46"/>
  </cols>
  <sheetData>
    <row r="1" customFormat="false" ht="25.5" hidden="false" customHeight="true" outlineLevel="0" collapsed="false">
      <c r="A1" s="1" t="s">
        <v>181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2" t="s">
        <v>182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51" t="s">
        <v>183</v>
      </c>
      <c r="B4" s="51"/>
      <c r="C4" s="51"/>
      <c r="D4" s="51"/>
      <c r="E4" s="51"/>
      <c r="F4" s="51"/>
      <c r="G4" s="51"/>
      <c r="H4" s="51"/>
    </row>
    <row r="5" customFormat="false" ht="15" hidden="false" customHeight="false" outlineLevel="0" collapsed="false">
      <c r="A5" s="51" t="s">
        <v>184</v>
      </c>
      <c r="B5" s="51"/>
      <c r="C5" s="51"/>
      <c r="D5" s="51"/>
      <c r="E5" s="51"/>
      <c r="F5" s="51"/>
      <c r="G5" s="51"/>
      <c r="H5" s="51"/>
    </row>
    <row r="6" customFormat="false" ht="15" hidden="false" customHeight="false" outlineLevel="0" collapsed="false">
      <c r="A6" s="51" t="s">
        <v>185</v>
      </c>
      <c r="B6" s="51"/>
      <c r="C6" s="51"/>
      <c r="D6" s="51"/>
      <c r="E6" s="51"/>
      <c r="F6" s="51"/>
      <c r="G6" s="51"/>
      <c r="H6" s="51"/>
    </row>
    <row r="7" customFormat="false" ht="15" hidden="false" customHeight="false" outlineLevel="0" collapsed="false">
      <c r="A7" s="51" t="s">
        <v>186</v>
      </c>
      <c r="B7" s="51"/>
      <c r="C7" s="51"/>
      <c r="D7" s="51"/>
      <c r="E7" s="51"/>
      <c r="F7" s="51"/>
      <c r="G7" s="51"/>
      <c r="H7" s="51"/>
    </row>
    <row r="9" customFormat="false" ht="15" hidden="false" customHeight="false" outlineLevel="0" collapsed="false">
      <c r="A9" s="2" t="s">
        <v>187</v>
      </c>
      <c r="B9" s="2"/>
      <c r="C9" s="2"/>
      <c r="D9" s="2"/>
      <c r="E9" s="2"/>
      <c r="F9" s="2"/>
    </row>
    <row r="10" customFormat="false" ht="30" hidden="false" customHeight="true" outlineLevel="0" collapsed="false">
      <c r="A10" s="14" t="s">
        <v>188</v>
      </c>
      <c r="B10" s="14" t="s">
        <v>189</v>
      </c>
    </row>
    <row r="11" customFormat="false" ht="15" hidden="false" customHeight="false" outlineLevel="0" collapsed="false">
      <c r="A11" s="52" t="n">
        <v>471</v>
      </c>
      <c r="B11" s="53" t="s">
        <v>190</v>
      </c>
      <c r="C11" s="53"/>
      <c r="D11" s="53"/>
      <c r="E11" s="53"/>
      <c r="F11" s="53"/>
    </row>
    <row r="12" customFormat="false" ht="15" hidden="false" customHeight="false" outlineLevel="0" collapsed="false">
      <c r="A12" s="52" t="n">
        <v>628</v>
      </c>
      <c r="B12" s="53" t="s">
        <v>191</v>
      </c>
      <c r="C12" s="53"/>
      <c r="D12" s="53"/>
      <c r="E12" s="53"/>
      <c r="F12" s="53"/>
    </row>
    <row r="13" customFormat="false" ht="15" hidden="false" customHeight="false" outlineLevel="0" collapsed="false">
      <c r="A13" s="52" t="n">
        <v>359</v>
      </c>
      <c r="B13" s="53" t="s">
        <v>192</v>
      </c>
      <c r="C13" s="53"/>
      <c r="D13" s="53"/>
      <c r="E13" s="53"/>
      <c r="F13" s="53"/>
    </row>
    <row r="14" customFormat="false" ht="15" hidden="false" customHeight="false" outlineLevel="0" collapsed="false">
      <c r="A14" s="52" t="n">
        <v>815</v>
      </c>
      <c r="B14" s="53" t="s">
        <v>193</v>
      </c>
      <c r="C14" s="53"/>
      <c r="D14" s="53"/>
      <c r="E14" s="53"/>
      <c r="F14" s="53"/>
    </row>
    <row r="16" customFormat="false" ht="15" hidden="false" customHeight="false" outlineLevel="0" collapsed="false">
      <c r="A16" s="2" t="s">
        <v>194</v>
      </c>
      <c r="B16" s="2"/>
      <c r="C16" s="2"/>
      <c r="D16" s="2"/>
      <c r="E16" s="2"/>
      <c r="F16" s="2"/>
    </row>
    <row r="17" customFormat="false" ht="30" hidden="false" customHeight="true" outlineLevel="0" collapsed="false">
      <c r="A17" s="14" t="s">
        <v>195</v>
      </c>
      <c r="B17" s="54" t="n">
        <f aca="false">A11</f>
        <v>471</v>
      </c>
      <c r="C17" s="54" t="n">
        <f aca="false">A12</f>
        <v>628</v>
      </c>
      <c r="D17" s="54" t="n">
        <f aca="false">A13</f>
        <v>359</v>
      </c>
      <c r="E17" s="54" t="n">
        <f aca="false">A14</f>
        <v>815</v>
      </c>
    </row>
    <row r="18" customFormat="false" ht="15" hidden="false" customHeight="false" outlineLevel="0" collapsed="false">
      <c r="A18" s="6" t="s">
        <v>196</v>
      </c>
      <c r="B18" s="55" t="n">
        <f aca="false">IFERROR(AVERAGE(B$30:B$77),0)</f>
        <v>0</v>
      </c>
      <c r="C18" s="55" t="n">
        <f aca="false">IFERROR(AVERAGE(C$30:C$77),0)</f>
        <v>0</v>
      </c>
      <c r="D18" s="55" t="n">
        <f aca="false">IFERROR(AVERAGE(D$30:D$77),0)</f>
        <v>0</v>
      </c>
      <c r="E18" s="55" t="n">
        <f aca="false">IFERROR(AVERAGE(E$30:E$77),0)</f>
        <v>0</v>
      </c>
    </row>
    <row r="19" customFormat="false" ht="15" hidden="false" customHeight="false" outlineLevel="0" collapsed="false">
      <c r="A19" s="6" t="s">
        <v>197</v>
      </c>
      <c r="B19" s="25" t="n">
        <f aca="false">IFERROR(AVERAGE(F$30:F$77),0)</f>
        <v>0</v>
      </c>
      <c r="C19" s="25" t="n">
        <f aca="false">IFERROR(AVERAGE(G$30:G$77),0)</f>
        <v>0</v>
      </c>
      <c r="D19" s="25" t="n">
        <f aca="false">IFERROR(AVERAGE(H$30:H$77),0)</f>
        <v>0</v>
      </c>
      <c r="E19" s="25" t="n">
        <f aca="false">IFERROR(AVERAGE(I$30:I$77),0)</f>
        <v>0</v>
      </c>
    </row>
    <row r="20" customFormat="false" ht="15" hidden="false" customHeight="false" outlineLevel="0" collapsed="false">
      <c r="A20" s="6" t="s">
        <v>198</v>
      </c>
      <c r="B20" s="28" t="n">
        <f aca="false">COUNTIF($J$30:$J$77,B$17)</f>
        <v>0</v>
      </c>
      <c r="C20" s="28" t="n">
        <f aca="false">COUNTIF($J$30:$J$77,C$17)</f>
        <v>0</v>
      </c>
      <c r="D20" s="28" t="n">
        <f aca="false">COUNTIF($J$30:$J$77,D$17)</f>
        <v>0</v>
      </c>
      <c r="E20" s="28" t="n">
        <f aca="false">COUNTIF($J$30:$J$77,E$17)</f>
        <v>0</v>
      </c>
    </row>
    <row r="21" customFormat="false" ht="15" hidden="false" customHeight="false" outlineLevel="0" collapsed="false">
      <c r="A21" s="6" t="s">
        <v>199</v>
      </c>
      <c r="B21" s="41" t="n">
        <f aca="false">IFERROR(B20/$B$24,0)</f>
        <v>0</v>
      </c>
      <c r="C21" s="41" t="n">
        <f aca="false">IFERROR(C20/$B$24,0)</f>
        <v>0</v>
      </c>
      <c r="D21" s="41" t="n">
        <f aca="false">IFERROR(D20/$B$24,0)</f>
        <v>0</v>
      </c>
      <c r="E21" s="41" t="n">
        <f aca="false">IFERROR(E20/$B$24,0)</f>
        <v>0</v>
      </c>
    </row>
    <row r="22" customFormat="false" ht="15" hidden="false" customHeight="false" outlineLevel="0" collapsed="false">
      <c r="A22" s="6" t="s">
        <v>200</v>
      </c>
      <c r="B22" s="25" t="n">
        <f aca="false">B18-$B$18</f>
        <v>0</v>
      </c>
      <c r="C22" s="25" t="n">
        <f aca="false">C18-$B$18</f>
        <v>0</v>
      </c>
      <c r="D22" s="25" t="n">
        <f aca="false">D18-$B$18</f>
        <v>0</v>
      </c>
      <c r="E22" s="25" t="n">
        <f aca="false">E18-$B$18</f>
        <v>0</v>
      </c>
    </row>
    <row r="24" customFormat="false" ht="15" hidden="false" customHeight="false" outlineLevel="0" collapsed="false">
      <c r="A24" s="8" t="s">
        <v>201</v>
      </c>
      <c r="B24" s="56" t="n">
        <f aca="false">COUNT($B$30:$B$77)</f>
        <v>0</v>
      </c>
    </row>
    <row r="25" customFormat="false" ht="15" hidden="false" customHeight="false" outlineLevel="0" collapsed="false">
      <c r="A25" s="8" t="s">
        <v>202</v>
      </c>
      <c r="B25" s="57" t="str">
        <f aca="false">IF($B$24=0,"— noch keine Daten erfasst —",IFERROR(INDEX($B$11:$B$14,MATCH(INDEX($B$17:$E$17,MATCH(MAX($B$18:$E$18),$B$18:$E$18,0)),$A$11:$A$14,0)),"—"))</f>
        <v>— noch keine Daten erfasst —</v>
      </c>
      <c r="C25" s="57"/>
      <c r="D25" s="57"/>
      <c r="E25" s="57"/>
      <c r="F25" s="57"/>
      <c r="G25" s="57"/>
    </row>
    <row r="26" customFormat="false" ht="15" hidden="false" customHeight="false" outlineLevel="0" collapsed="false">
      <c r="A26" s="22" t="s">
        <v>203</v>
      </c>
      <c r="B26" s="58" t="s">
        <v>204</v>
      </c>
      <c r="C26" s="58"/>
      <c r="D26" s="58"/>
      <c r="E26" s="58"/>
      <c r="F26" s="58"/>
      <c r="G26" s="58"/>
      <c r="H26" s="58"/>
      <c r="I26" s="58"/>
      <c r="J26" s="58"/>
      <c r="K26" s="58"/>
    </row>
    <row r="27" customFormat="false" ht="15" hidden="false" customHeight="false" outlineLevel="0" collapsed="false">
      <c r="A27" s="2" t="s">
        <v>205</v>
      </c>
      <c r="B27" s="2"/>
      <c r="C27" s="2"/>
      <c r="D27" s="2"/>
      <c r="E27" s="2"/>
      <c r="F27" s="2"/>
      <c r="G27" s="2"/>
      <c r="H27" s="2"/>
      <c r="I27" s="2"/>
      <c r="J27" s="2"/>
      <c r="K27" s="2"/>
    </row>
    <row r="28" customFormat="false" ht="30" hidden="false" customHeight="true" outlineLevel="0" collapsed="false">
      <c r="A28" s="14" t="s">
        <v>206</v>
      </c>
      <c r="B28" s="14" t="s">
        <v>207</v>
      </c>
      <c r="C28" s="14" t="s">
        <v>208</v>
      </c>
      <c r="D28" s="14" t="s">
        <v>209</v>
      </c>
      <c r="E28" s="14" t="s">
        <v>210</v>
      </c>
      <c r="F28" s="14" t="s">
        <v>211</v>
      </c>
      <c r="G28" s="14" t="s">
        <v>212</v>
      </c>
      <c r="H28" s="14" t="s">
        <v>213</v>
      </c>
      <c r="I28" s="14" t="s">
        <v>214</v>
      </c>
      <c r="J28" s="14" t="s">
        <v>215</v>
      </c>
      <c r="K28" s="14" t="s">
        <v>216</v>
      </c>
    </row>
    <row r="29" customFormat="false" ht="15" hidden="false" customHeight="false" outlineLevel="0" collapsed="false">
      <c r="A29" s="59" t="s">
        <v>217</v>
      </c>
      <c r="B29" s="59" t="n">
        <v>7</v>
      </c>
      <c r="C29" s="59" t="n">
        <v>5</v>
      </c>
      <c r="D29" s="59" t="n">
        <v>8</v>
      </c>
      <c r="E29" s="59" t="n">
        <v>6</v>
      </c>
      <c r="F29" s="59" t="n">
        <v>5</v>
      </c>
      <c r="G29" s="59" t="n">
        <v>8</v>
      </c>
      <c r="H29" s="59" t="n">
        <v>5</v>
      </c>
      <c r="I29" s="59" t="n">
        <v>3</v>
      </c>
      <c r="J29" s="59" t="n">
        <v>359</v>
      </c>
      <c r="K29" s="59" t="s">
        <v>218</v>
      </c>
      <c r="L29" s="60" t="s">
        <v>219</v>
      </c>
    </row>
    <row r="30" customFormat="false" ht="15" hidden="false" customHeight="false" outlineLevel="0" collapsed="false">
      <c r="A30" s="61" t="n">
        <v>1</v>
      </c>
      <c r="B30" s="11"/>
      <c r="C30" s="11"/>
      <c r="D30" s="11"/>
      <c r="E30" s="11"/>
      <c r="F30" s="11"/>
      <c r="G30" s="11"/>
      <c r="H30" s="11"/>
      <c r="I30" s="11"/>
      <c r="J30" s="11"/>
      <c r="K30" s="62"/>
    </row>
    <row r="31" customFormat="false" ht="15" hidden="false" customHeight="false" outlineLevel="0" collapsed="false">
      <c r="A31" s="61" t="n">
        <v>2</v>
      </c>
      <c r="B31" s="11"/>
      <c r="C31" s="11"/>
      <c r="D31" s="11"/>
      <c r="E31" s="11"/>
      <c r="F31" s="11"/>
      <c r="G31" s="11"/>
      <c r="H31" s="11"/>
      <c r="I31" s="11"/>
      <c r="J31" s="11"/>
      <c r="K31" s="62"/>
    </row>
    <row r="32" customFormat="false" ht="15" hidden="false" customHeight="false" outlineLevel="0" collapsed="false">
      <c r="A32" s="61" t="n">
        <v>3</v>
      </c>
      <c r="B32" s="11"/>
      <c r="C32" s="11"/>
      <c r="D32" s="11"/>
      <c r="E32" s="11"/>
      <c r="F32" s="11"/>
      <c r="G32" s="11"/>
      <c r="H32" s="11"/>
      <c r="I32" s="11"/>
      <c r="J32" s="11"/>
      <c r="K32" s="62"/>
    </row>
    <row r="33" customFormat="false" ht="15" hidden="false" customHeight="false" outlineLevel="0" collapsed="false">
      <c r="A33" s="61" t="n">
        <v>4</v>
      </c>
      <c r="B33" s="11"/>
      <c r="C33" s="11"/>
      <c r="D33" s="11"/>
      <c r="E33" s="11"/>
      <c r="F33" s="11"/>
      <c r="G33" s="11"/>
      <c r="H33" s="11"/>
      <c r="I33" s="11"/>
      <c r="J33" s="11"/>
      <c r="K33" s="62"/>
    </row>
    <row r="34" customFormat="false" ht="15" hidden="false" customHeight="false" outlineLevel="0" collapsed="false">
      <c r="A34" s="61" t="n">
        <v>5</v>
      </c>
      <c r="B34" s="11"/>
      <c r="C34" s="11"/>
      <c r="D34" s="11"/>
      <c r="E34" s="11"/>
      <c r="F34" s="11"/>
      <c r="G34" s="11"/>
      <c r="H34" s="11"/>
      <c r="I34" s="11"/>
      <c r="J34" s="11"/>
      <c r="K34" s="62"/>
    </row>
    <row r="35" customFormat="false" ht="15" hidden="false" customHeight="false" outlineLevel="0" collapsed="false">
      <c r="A35" s="61" t="n">
        <v>6</v>
      </c>
      <c r="B35" s="11"/>
      <c r="C35" s="11"/>
      <c r="D35" s="11"/>
      <c r="E35" s="11"/>
      <c r="F35" s="11"/>
      <c r="G35" s="11"/>
      <c r="H35" s="11"/>
      <c r="I35" s="11"/>
      <c r="J35" s="11"/>
      <c r="K35" s="62"/>
    </row>
    <row r="36" customFormat="false" ht="15" hidden="false" customHeight="false" outlineLevel="0" collapsed="false">
      <c r="A36" s="61" t="n">
        <v>7</v>
      </c>
      <c r="B36" s="11"/>
      <c r="C36" s="11"/>
      <c r="D36" s="11"/>
      <c r="E36" s="11"/>
      <c r="F36" s="11"/>
      <c r="G36" s="11"/>
      <c r="H36" s="11"/>
      <c r="I36" s="11"/>
      <c r="J36" s="11"/>
      <c r="K36" s="62"/>
    </row>
    <row r="37" customFormat="false" ht="15" hidden="false" customHeight="false" outlineLevel="0" collapsed="false">
      <c r="A37" s="61" t="n">
        <v>8</v>
      </c>
      <c r="B37" s="11"/>
      <c r="C37" s="11"/>
      <c r="D37" s="11"/>
      <c r="E37" s="11"/>
      <c r="F37" s="11"/>
      <c r="G37" s="11"/>
      <c r="H37" s="11"/>
      <c r="I37" s="11"/>
      <c r="J37" s="11"/>
      <c r="K37" s="62"/>
    </row>
    <row r="38" customFormat="false" ht="15" hidden="false" customHeight="false" outlineLevel="0" collapsed="false">
      <c r="A38" s="61" t="n">
        <v>9</v>
      </c>
      <c r="B38" s="11"/>
      <c r="C38" s="11"/>
      <c r="D38" s="11"/>
      <c r="E38" s="11"/>
      <c r="F38" s="11"/>
      <c r="G38" s="11"/>
      <c r="H38" s="11"/>
      <c r="I38" s="11"/>
      <c r="J38" s="11"/>
      <c r="K38" s="62"/>
    </row>
    <row r="39" customFormat="false" ht="15" hidden="false" customHeight="false" outlineLevel="0" collapsed="false">
      <c r="A39" s="61" t="n">
        <v>10</v>
      </c>
      <c r="B39" s="11"/>
      <c r="C39" s="11"/>
      <c r="D39" s="11"/>
      <c r="E39" s="11"/>
      <c r="F39" s="11"/>
      <c r="G39" s="11"/>
      <c r="H39" s="11"/>
      <c r="I39" s="11"/>
      <c r="J39" s="11"/>
      <c r="K39" s="62"/>
    </row>
    <row r="40" customFormat="false" ht="15" hidden="false" customHeight="false" outlineLevel="0" collapsed="false">
      <c r="A40" s="61" t="n">
        <v>11</v>
      </c>
      <c r="B40" s="11"/>
      <c r="C40" s="11"/>
      <c r="D40" s="11"/>
      <c r="E40" s="11"/>
      <c r="F40" s="11"/>
      <c r="G40" s="11"/>
      <c r="H40" s="11"/>
      <c r="I40" s="11"/>
      <c r="J40" s="11"/>
      <c r="K40" s="62"/>
    </row>
    <row r="41" customFormat="false" ht="15" hidden="false" customHeight="false" outlineLevel="0" collapsed="false">
      <c r="A41" s="61" t="n">
        <v>12</v>
      </c>
      <c r="B41" s="11"/>
      <c r="C41" s="11"/>
      <c r="D41" s="11"/>
      <c r="E41" s="11"/>
      <c r="F41" s="11"/>
      <c r="G41" s="11"/>
      <c r="H41" s="11"/>
      <c r="I41" s="11"/>
      <c r="J41" s="11"/>
      <c r="K41" s="62"/>
    </row>
    <row r="42" customFormat="false" ht="15" hidden="false" customHeight="false" outlineLevel="0" collapsed="false">
      <c r="A42" s="61" t="n">
        <v>13</v>
      </c>
      <c r="B42" s="11"/>
      <c r="C42" s="11"/>
      <c r="D42" s="11"/>
      <c r="E42" s="11"/>
      <c r="F42" s="11"/>
      <c r="G42" s="11"/>
      <c r="H42" s="11"/>
      <c r="I42" s="11"/>
      <c r="J42" s="11"/>
      <c r="K42" s="62"/>
    </row>
    <row r="43" customFormat="false" ht="15" hidden="false" customHeight="false" outlineLevel="0" collapsed="false">
      <c r="A43" s="61" t="n">
        <v>14</v>
      </c>
      <c r="B43" s="11"/>
      <c r="C43" s="11"/>
      <c r="D43" s="11"/>
      <c r="E43" s="11"/>
      <c r="F43" s="11"/>
      <c r="G43" s="11"/>
      <c r="H43" s="11"/>
      <c r="I43" s="11"/>
      <c r="J43" s="11"/>
      <c r="K43" s="62"/>
    </row>
    <row r="44" customFormat="false" ht="15" hidden="false" customHeight="false" outlineLevel="0" collapsed="false">
      <c r="A44" s="61" t="n">
        <v>15</v>
      </c>
      <c r="B44" s="11"/>
      <c r="C44" s="11"/>
      <c r="D44" s="11"/>
      <c r="E44" s="11"/>
      <c r="F44" s="11"/>
      <c r="G44" s="11"/>
      <c r="H44" s="11"/>
      <c r="I44" s="11"/>
      <c r="J44" s="11"/>
      <c r="K44" s="62"/>
    </row>
    <row r="45" customFormat="false" ht="15" hidden="false" customHeight="false" outlineLevel="0" collapsed="false">
      <c r="A45" s="61" t="n">
        <v>16</v>
      </c>
      <c r="B45" s="11"/>
      <c r="C45" s="11"/>
      <c r="D45" s="11"/>
      <c r="E45" s="11"/>
      <c r="F45" s="11"/>
      <c r="G45" s="11"/>
      <c r="H45" s="11"/>
      <c r="I45" s="11"/>
      <c r="J45" s="11"/>
      <c r="K45" s="62"/>
    </row>
    <row r="46" customFormat="false" ht="15" hidden="false" customHeight="false" outlineLevel="0" collapsed="false">
      <c r="A46" s="61" t="n">
        <v>17</v>
      </c>
      <c r="B46" s="11"/>
      <c r="C46" s="11"/>
      <c r="D46" s="11"/>
      <c r="E46" s="11"/>
      <c r="F46" s="11"/>
      <c r="G46" s="11"/>
      <c r="H46" s="11"/>
      <c r="I46" s="11"/>
      <c r="J46" s="11"/>
      <c r="K46" s="62"/>
    </row>
    <row r="47" customFormat="false" ht="15" hidden="false" customHeight="false" outlineLevel="0" collapsed="false">
      <c r="A47" s="61" t="n">
        <v>18</v>
      </c>
      <c r="B47" s="11"/>
      <c r="C47" s="11"/>
      <c r="D47" s="11"/>
      <c r="E47" s="11"/>
      <c r="F47" s="11"/>
      <c r="G47" s="11"/>
      <c r="H47" s="11"/>
      <c r="I47" s="11"/>
      <c r="J47" s="11"/>
      <c r="K47" s="62"/>
    </row>
    <row r="48" customFormat="false" ht="15" hidden="false" customHeight="false" outlineLevel="0" collapsed="false">
      <c r="A48" s="61" t="n">
        <v>19</v>
      </c>
      <c r="B48" s="11"/>
      <c r="C48" s="11"/>
      <c r="D48" s="11"/>
      <c r="E48" s="11"/>
      <c r="F48" s="11"/>
      <c r="G48" s="11"/>
      <c r="H48" s="11"/>
      <c r="I48" s="11"/>
      <c r="J48" s="11"/>
      <c r="K48" s="62"/>
    </row>
    <row r="49" customFormat="false" ht="15" hidden="false" customHeight="false" outlineLevel="0" collapsed="false">
      <c r="A49" s="61" t="n">
        <v>20</v>
      </c>
      <c r="B49" s="11"/>
      <c r="C49" s="11"/>
      <c r="D49" s="11"/>
      <c r="E49" s="11"/>
      <c r="F49" s="11"/>
      <c r="G49" s="11"/>
      <c r="H49" s="11"/>
      <c r="I49" s="11"/>
      <c r="J49" s="11"/>
      <c r="K49" s="62"/>
    </row>
    <row r="50" customFormat="false" ht="15" hidden="false" customHeight="false" outlineLevel="0" collapsed="false">
      <c r="A50" s="61" t="n">
        <v>21</v>
      </c>
      <c r="B50" s="11"/>
      <c r="C50" s="11"/>
      <c r="D50" s="11"/>
      <c r="E50" s="11"/>
      <c r="F50" s="11"/>
      <c r="G50" s="11"/>
      <c r="H50" s="11"/>
      <c r="I50" s="11"/>
      <c r="J50" s="11"/>
      <c r="K50" s="62"/>
    </row>
    <row r="51" customFormat="false" ht="15" hidden="false" customHeight="false" outlineLevel="0" collapsed="false">
      <c r="A51" s="61" t="n">
        <v>22</v>
      </c>
      <c r="B51" s="11"/>
      <c r="C51" s="11"/>
      <c r="D51" s="11"/>
      <c r="E51" s="11"/>
      <c r="F51" s="11"/>
      <c r="G51" s="11"/>
      <c r="H51" s="11"/>
      <c r="I51" s="11"/>
      <c r="J51" s="11"/>
      <c r="K51" s="62"/>
    </row>
    <row r="52" customFormat="false" ht="15" hidden="false" customHeight="false" outlineLevel="0" collapsed="false">
      <c r="A52" s="61" t="n">
        <v>23</v>
      </c>
      <c r="B52" s="11"/>
      <c r="C52" s="11"/>
      <c r="D52" s="11"/>
      <c r="E52" s="11"/>
      <c r="F52" s="11"/>
      <c r="G52" s="11"/>
      <c r="H52" s="11"/>
      <c r="I52" s="11"/>
      <c r="J52" s="11"/>
      <c r="K52" s="62"/>
    </row>
    <row r="53" customFormat="false" ht="15" hidden="false" customHeight="false" outlineLevel="0" collapsed="false">
      <c r="A53" s="61" t="n">
        <v>24</v>
      </c>
      <c r="B53" s="11"/>
      <c r="C53" s="11"/>
      <c r="D53" s="11"/>
      <c r="E53" s="11"/>
      <c r="F53" s="11"/>
      <c r="G53" s="11"/>
      <c r="H53" s="11"/>
      <c r="I53" s="11"/>
      <c r="J53" s="11"/>
      <c r="K53" s="62"/>
    </row>
    <row r="54" customFormat="false" ht="15" hidden="false" customHeight="false" outlineLevel="0" collapsed="false">
      <c r="A54" s="61" t="n">
        <v>25</v>
      </c>
      <c r="B54" s="11"/>
      <c r="C54" s="11"/>
      <c r="D54" s="11"/>
      <c r="E54" s="11"/>
      <c r="F54" s="11"/>
      <c r="G54" s="11"/>
      <c r="H54" s="11"/>
      <c r="I54" s="11"/>
      <c r="J54" s="11"/>
      <c r="K54" s="62"/>
    </row>
    <row r="55" customFormat="false" ht="15" hidden="false" customHeight="false" outlineLevel="0" collapsed="false">
      <c r="A55" s="61" t="n">
        <v>26</v>
      </c>
      <c r="B55" s="11"/>
      <c r="C55" s="11"/>
      <c r="D55" s="11"/>
      <c r="E55" s="11"/>
      <c r="F55" s="11"/>
      <c r="G55" s="11"/>
      <c r="H55" s="11"/>
      <c r="I55" s="11"/>
      <c r="J55" s="11"/>
      <c r="K55" s="62"/>
    </row>
    <row r="56" customFormat="false" ht="15" hidden="false" customHeight="false" outlineLevel="0" collapsed="false">
      <c r="A56" s="61" t="n">
        <v>27</v>
      </c>
      <c r="B56" s="11"/>
      <c r="C56" s="11"/>
      <c r="D56" s="11"/>
      <c r="E56" s="11"/>
      <c r="F56" s="11"/>
      <c r="G56" s="11"/>
      <c r="H56" s="11"/>
      <c r="I56" s="11"/>
      <c r="J56" s="11"/>
      <c r="K56" s="62"/>
    </row>
    <row r="57" customFormat="false" ht="15" hidden="false" customHeight="false" outlineLevel="0" collapsed="false">
      <c r="A57" s="61" t="n">
        <v>28</v>
      </c>
      <c r="B57" s="11"/>
      <c r="C57" s="11"/>
      <c r="D57" s="11"/>
      <c r="E57" s="11"/>
      <c r="F57" s="11"/>
      <c r="G57" s="11"/>
      <c r="H57" s="11"/>
      <c r="I57" s="11"/>
      <c r="J57" s="11"/>
      <c r="K57" s="62"/>
    </row>
    <row r="58" customFormat="false" ht="15" hidden="false" customHeight="false" outlineLevel="0" collapsed="false">
      <c r="A58" s="61" t="n">
        <v>29</v>
      </c>
      <c r="B58" s="11"/>
      <c r="C58" s="11"/>
      <c r="D58" s="11"/>
      <c r="E58" s="11"/>
      <c r="F58" s="11"/>
      <c r="G58" s="11"/>
      <c r="H58" s="11"/>
      <c r="I58" s="11"/>
      <c r="J58" s="11"/>
      <c r="K58" s="62"/>
    </row>
    <row r="59" customFormat="false" ht="15" hidden="false" customHeight="false" outlineLevel="0" collapsed="false">
      <c r="A59" s="61" t="n">
        <v>30</v>
      </c>
      <c r="B59" s="11"/>
      <c r="C59" s="11"/>
      <c r="D59" s="11"/>
      <c r="E59" s="11"/>
      <c r="F59" s="11"/>
      <c r="G59" s="11"/>
      <c r="H59" s="11"/>
      <c r="I59" s="11"/>
      <c r="J59" s="11"/>
      <c r="K59" s="62"/>
    </row>
    <row r="60" customFormat="false" ht="15" hidden="false" customHeight="false" outlineLevel="0" collapsed="false">
      <c r="A60" s="61" t="n">
        <v>31</v>
      </c>
      <c r="B60" s="11"/>
      <c r="C60" s="11"/>
      <c r="D60" s="11"/>
      <c r="E60" s="11"/>
      <c r="F60" s="11"/>
      <c r="G60" s="11"/>
      <c r="H60" s="11"/>
      <c r="I60" s="11"/>
      <c r="J60" s="11"/>
      <c r="K60" s="62"/>
    </row>
    <row r="61" customFormat="false" ht="15" hidden="false" customHeight="false" outlineLevel="0" collapsed="false">
      <c r="A61" s="61" t="n">
        <v>32</v>
      </c>
      <c r="B61" s="11"/>
      <c r="C61" s="11"/>
      <c r="D61" s="11"/>
      <c r="E61" s="11"/>
      <c r="F61" s="11"/>
      <c r="G61" s="11"/>
      <c r="H61" s="11"/>
      <c r="I61" s="11"/>
      <c r="J61" s="11"/>
      <c r="K61" s="62"/>
    </row>
    <row r="62" customFormat="false" ht="15" hidden="false" customHeight="false" outlineLevel="0" collapsed="false">
      <c r="A62" s="61" t="n">
        <v>33</v>
      </c>
      <c r="B62" s="11"/>
      <c r="C62" s="11"/>
      <c r="D62" s="11"/>
      <c r="E62" s="11"/>
      <c r="F62" s="11"/>
      <c r="G62" s="11"/>
      <c r="H62" s="11"/>
      <c r="I62" s="11"/>
      <c r="J62" s="11"/>
      <c r="K62" s="62"/>
    </row>
    <row r="63" customFormat="false" ht="15" hidden="false" customHeight="false" outlineLevel="0" collapsed="false">
      <c r="A63" s="61" t="n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62"/>
    </row>
    <row r="64" customFormat="false" ht="15" hidden="false" customHeight="false" outlineLevel="0" collapsed="false">
      <c r="A64" s="61" t="n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62"/>
    </row>
    <row r="65" customFormat="false" ht="15" hidden="false" customHeight="false" outlineLevel="0" collapsed="false">
      <c r="A65" s="61" t="n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62"/>
    </row>
    <row r="66" customFormat="false" ht="15" hidden="false" customHeight="false" outlineLevel="0" collapsed="false">
      <c r="A66" s="61" t="n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62"/>
    </row>
    <row r="67" customFormat="false" ht="15" hidden="false" customHeight="false" outlineLevel="0" collapsed="false">
      <c r="A67" s="61" t="n">
        <v>38</v>
      </c>
      <c r="B67" s="11"/>
      <c r="C67" s="11"/>
      <c r="D67" s="11"/>
      <c r="E67" s="11"/>
      <c r="F67" s="11"/>
      <c r="G67" s="11"/>
      <c r="H67" s="11"/>
      <c r="I67" s="11"/>
      <c r="J67" s="11"/>
      <c r="K67" s="62"/>
    </row>
    <row r="68" customFormat="false" ht="15" hidden="false" customHeight="false" outlineLevel="0" collapsed="false">
      <c r="A68" s="61" t="n">
        <v>39</v>
      </c>
      <c r="B68" s="11"/>
      <c r="C68" s="11"/>
      <c r="D68" s="11"/>
      <c r="E68" s="11"/>
      <c r="F68" s="11"/>
      <c r="G68" s="11"/>
      <c r="H68" s="11"/>
      <c r="I68" s="11"/>
      <c r="J68" s="11"/>
      <c r="K68" s="62"/>
    </row>
    <row r="69" customFormat="false" ht="15" hidden="false" customHeight="false" outlineLevel="0" collapsed="false">
      <c r="A69" s="61" t="n">
        <v>40</v>
      </c>
      <c r="B69" s="11"/>
      <c r="C69" s="11"/>
      <c r="D69" s="11"/>
      <c r="E69" s="11"/>
      <c r="F69" s="11"/>
      <c r="G69" s="11"/>
      <c r="H69" s="11"/>
      <c r="I69" s="11"/>
      <c r="J69" s="11"/>
      <c r="K69" s="62"/>
    </row>
    <row r="70" customFormat="false" ht="15" hidden="false" customHeight="false" outlineLevel="0" collapsed="false">
      <c r="A70" s="61" t="n">
        <v>41</v>
      </c>
      <c r="B70" s="11"/>
      <c r="C70" s="11"/>
      <c r="D70" s="11"/>
      <c r="E70" s="11"/>
      <c r="F70" s="11"/>
      <c r="G70" s="11"/>
      <c r="H70" s="11"/>
      <c r="I70" s="11"/>
      <c r="J70" s="11"/>
      <c r="K70" s="62"/>
    </row>
    <row r="71" customFormat="false" ht="15" hidden="false" customHeight="false" outlineLevel="0" collapsed="false">
      <c r="A71" s="61" t="n">
        <v>42</v>
      </c>
      <c r="B71" s="11"/>
      <c r="C71" s="11"/>
      <c r="D71" s="11"/>
      <c r="E71" s="11"/>
      <c r="F71" s="11"/>
      <c r="G71" s="11"/>
      <c r="H71" s="11"/>
      <c r="I71" s="11"/>
      <c r="J71" s="11"/>
      <c r="K71" s="62"/>
    </row>
    <row r="72" customFormat="false" ht="15" hidden="false" customHeight="false" outlineLevel="0" collapsed="false">
      <c r="A72" s="61" t="n">
        <v>43</v>
      </c>
      <c r="B72" s="11"/>
      <c r="C72" s="11"/>
      <c r="D72" s="11"/>
      <c r="E72" s="11"/>
      <c r="F72" s="11"/>
      <c r="G72" s="11"/>
      <c r="H72" s="11"/>
      <c r="I72" s="11"/>
      <c r="J72" s="11"/>
      <c r="K72" s="62"/>
    </row>
    <row r="73" customFormat="false" ht="15" hidden="false" customHeight="false" outlineLevel="0" collapsed="false">
      <c r="A73" s="61" t="n">
        <v>44</v>
      </c>
      <c r="B73" s="11"/>
      <c r="C73" s="11"/>
      <c r="D73" s="11"/>
      <c r="E73" s="11"/>
      <c r="F73" s="11"/>
      <c r="G73" s="11"/>
      <c r="H73" s="11"/>
      <c r="I73" s="11"/>
      <c r="J73" s="11"/>
      <c r="K73" s="62"/>
    </row>
    <row r="74" customFormat="false" ht="15" hidden="false" customHeight="false" outlineLevel="0" collapsed="false">
      <c r="A74" s="61" t="n">
        <v>45</v>
      </c>
      <c r="B74" s="11"/>
      <c r="C74" s="11"/>
      <c r="D74" s="11"/>
      <c r="E74" s="11"/>
      <c r="F74" s="11"/>
      <c r="G74" s="11"/>
      <c r="H74" s="11"/>
      <c r="I74" s="11"/>
      <c r="J74" s="11"/>
      <c r="K74" s="62"/>
    </row>
    <row r="75" customFormat="false" ht="15" hidden="false" customHeight="false" outlineLevel="0" collapsed="false">
      <c r="A75" s="61" t="n">
        <v>46</v>
      </c>
      <c r="B75" s="11"/>
      <c r="C75" s="11"/>
      <c r="D75" s="11"/>
      <c r="E75" s="11"/>
      <c r="F75" s="11"/>
      <c r="G75" s="11"/>
      <c r="H75" s="11"/>
      <c r="I75" s="11"/>
      <c r="J75" s="11"/>
      <c r="K75" s="62"/>
    </row>
    <row r="76" customFormat="false" ht="15" hidden="false" customHeight="false" outlineLevel="0" collapsed="false">
      <c r="A76" s="61" t="n">
        <v>47</v>
      </c>
      <c r="B76" s="11"/>
      <c r="C76" s="11"/>
      <c r="D76" s="11"/>
      <c r="E76" s="11"/>
      <c r="F76" s="11"/>
      <c r="G76" s="11"/>
      <c r="H76" s="11"/>
      <c r="I76" s="11"/>
      <c r="J76" s="11"/>
      <c r="K76" s="62"/>
    </row>
    <row r="77" customFormat="false" ht="15" hidden="false" customHeight="false" outlineLevel="0" collapsed="false">
      <c r="A77" s="61" t="n">
        <v>48</v>
      </c>
      <c r="B77" s="11"/>
      <c r="C77" s="11"/>
      <c r="D77" s="11"/>
      <c r="E77" s="11"/>
      <c r="F77" s="11"/>
      <c r="G77" s="11"/>
      <c r="H77" s="11"/>
      <c r="I77" s="11"/>
      <c r="J77" s="11"/>
      <c r="K77" s="62"/>
    </row>
  </sheetData>
  <mergeCells count="15">
    <mergeCell ref="A1:K1"/>
    <mergeCell ref="A3:K3"/>
    <mergeCell ref="A4:H4"/>
    <mergeCell ref="A5:H5"/>
    <mergeCell ref="A6:H6"/>
    <mergeCell ref="A7:H7"/>
    <mergeCell ref="A9:F9"/>
    <mergeCell ref="B11:F11"/>
    <mergeCell ref="B12:F12"/>
    <mergeCell ref="B13:F13"/>
    <mergeCell ref="B14:F14"/>
    <mergeCell ref="A16:F16"/>
    <mergeCell ref="B25:G25"/>
    <mergeCell ref="B26:K26"/>
    <mergeCell ref="A27:K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2026-08-07T09:12:19Z</dcterms:created>
  <dc:creator>openpyxl</dc:creator>
  <dc:description/>
  <dc:language>en-US</dc:language>
  <cp:lastModifiedBy/>
  <dcterms:modified xsi:type="dcterms:W3CDTF">2026-08-07T09:12:19Z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